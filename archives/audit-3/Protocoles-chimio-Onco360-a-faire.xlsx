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ocoles" sheetId="1" state="visible" r:id="rId3"/>
  </sheets>
  <definedNames>
    <definedName function="false" hidden="false" localSheetId="0" name="_xlnm.Print_Titles" vbProcedure="false">Protocoles!$5:$5</definedName>
    <definedName function="false" hidden="true" localSheetId="0" name="_xlnm._FilterDatabase" vbProcedure="false">Protocoles!$A$5:$P$444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<sst xmlns="http://schemas.openxmlformats.org/spreadsheetml/2006/main" count="4403" uniqueCount="1987">
  <si>
    <t xml:space="preserve">Bibliothèque de chimiothérapie Onco360 : ce qu'il faut faire, protocole par protocole</t>
  </si>
  <si>
    <t xml:space="preserve">Décision : À garder = rien à changer · À ajuster = la chimiothérapie est juste, on corrige les à-côtés (antiémétiques, prémédication, remarques, nom, indications) · À modifier = la chimiothérapie elle-même change (dose, jours, cycle, molécule) ou erreur grave · À supprimer = doublon ou sans référence · À créer = protocole manquant, écrit en entier.</t>
  </si>
  <si>
    <t xml:space="preserve">Règle : le protocole (la fiche de prescription envoyée à la prise en charge) contient ce qui est fait au service les jours de chimiothérapie (chimiothérapie, prémédication injectable, hydratation), le retrait du diffuseur et le NIVESTIM (de quel J à quel J, nombre d'injections), pour qu'il soit pris en charge avec la chimiothérapie ; ce que le patient prend chez lui (EMEND, SOLUPRED, olanzapine, acide folique…) est sur l'ordonnance indiquée, remise avec la fiche.   Ordre : 1 = avant de prescrire ce protocole · 2 = important · 3 = ensuite · 4 = quand tu as le temps.   Seuils normaux : PNN ≥ 1,5 G/L et plaquettes ≥ 100 G/L.   À la 1re cure IV de tout protocole, imprimer aussi « Chimio – Fièvre sous chimiothérapie : conduite à tenir ».   Texte des ordonnances : en bas du tableau.   Un protocole rangé dans plusieurs branches n'apparaît qu'une fois (colonne « Aussi rangé dans »).   Protocoles à créer : statut « Non validé » jusqu'à relecture.</t>
  </si>
  <si>
    <t xml:space="preserve">N°</t>
  </si>
  <si>
    <t xml:space="preserve">Type de cancer</t>
  </si>
  <si>
    <t xml:space="preserve">Localisation</t>
  </si>
  <si>
    <t xml:space="preserve">Situation</t>
  </si>
  <si>
    <t xml:space="preserve">Sous-groupe</t>
  </si>
  <si>
    <t xml:space="preserve">Protocole</t>
  </si>
  <si>
    <t xml:space="preserve">Décision</t>
  </si>
  <si>
    <t xml:space="preserve">Ordre (1 = en premier)</t>
  </si>
  <si>
    <t xml:space="preserve">Fait</t>
  </si>
  <si>
    <t xml:space="preserve">Cycle (jours, 0 = continu)</t>
  </si>
  <si>
    <t xml:space="preserve">Pourquoi</t>
  </si>
  <si>
    <t xml:space="preserve">À saisir dans le protocole (ordre des colonnes de l'éditeur : Produit — Dose Unité — Jours — Précision — Voie — Soluté — Durée — Options)</t>
  </si>
  <si>
    <t xml:space="preserve">Seuils particuliers du jour (vide = seuils normaux) — à recopier en remarque « Seuils du jour »</t>
  </si>
  <si>
    <t xml:space="preserve">Ordonnance(s) à imprimer : avec la fiche de prescription (prise en charge), puis à chaque cure</t>
  </si>
  <si>
    <t xml:space="preserve">Source (essai, recommandation)</t>
  </si>
  <si>
    <t xml:space="preserve">Aussi rangé dans</t>
  </si>
  <si>
    <t xml:space="preserve">N060</t>
  </si>
  <si>
    <t xml:space="preserve">Digestif</t>
  </si>
  <si>
    <t xml:space="preserve">Canal anal</t>
  </si>
  <si>
    <t xml:space="preserve">Métastatique</t>
  </si>
  <si>
    <t xml:space="preserve">Carboplatine AUC 5 J1 + Paclitaxel 80 J1-J8-J15 + Rétifanlimab 500 / 28 j</t>
  </si>
  <si>
    <t xml:space="preserve">À créer</t>
  </si>
  <si>
    <t xml:space="preserve">• Manque dans la bibliothèque (référence : POD1UM-303)</t>
  </si>
  <si>
    <t xml:space="preserve">Rythme : J1, J8, J15 – tous les 28 jours × 6, puis rétifanlimab seul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POLARAMINE (dexchlorphéniramine) 5 mg/1 ml inj. — 5 mg (dose fixe) — Jours 1,8,15 — 30 min avant la perfusion — IV lente
4. SOLUMEDROL (méthylprednisolone) inj. — 80 mg (dose fixe) — Jours 1,8,15 — 30 min avant la chimiothérapie — IV — NaCl 0,9 % 50 ml — 15 min
5. ZYNYZ (rétifanlimab) — 500 mg (dose fixe) — Jours 1 — IV — NaCl 0,9 % 100 ml — 30 min
6. PACLITAXEL — 80 mg/m² — Jours 1,8,15 — IV — NaCl 0,9 % 250 ml, filtre 0,22 µm — 1 h
7. CARBOPLATINE — AUC 5 — Jours 1 — IV — G5 % 250 ml — 30-60 min
Pas dans le protocole (ordonnance de sortie) : EMEND</t>
  </si>
  <si>
    <t xml:space="preserve">Séances hebdomadaires (J8, J15…) : PNN ≥ 1,0 G/L et plaquettes ≥ 75 G/L
Carboplatine : créatinine du jour obligatoire (Calvert, clairance plafonnée à 125 ml/min)
Paclitaxel : bilirubine ≤ 1,5 × N ; neuropathie de grade ≥ 2 → réduire</t>
  </si>
  <si>
    <t xml:space="preserve">Chimio – Sortie : carboplatine, Enhertu, Trodelvy</t>
  </si>
  <si>
    <t xml:space="preserve">POD1UM-303</t>
  </si>
  <si>
    <t xml:space="preserve">Carboplatine AUC 5 J1 + Paclitaxel 80 J1-J8-J15 / 28 j (InterAACT)</t>
  </si>
  <si>
    <t xml:space="preserve">À ajuster</t>
  </si>
  <si>
    <t xml:space="preserve">• Anti-NK1 absent (modéré haut – carboplatine auc ≥ 5) → ordonnance de sortie
• Paclitaxel sans anti-H1 (prévu par le RCP avec le corticoïde)</t>
  </si>
  <si>
    <t xml:space="preserve">• MODIFIER : SOLUMEDROL 80 mg → 60 mg les jours de l'aprépitant (J1) : interaction, RCP Emend (−25 % en IV)
• AJOUTER la ligne : POLARAMINE (dexchlorphéniramine) 5 mg/1 ml inj. — 5 mg (dose fixe) — Jours 1,8,15 — 30 min avant la perfusion — IV lente</t>
  </si>
  <si>
    <t xml:space="preserve">InterAACT (Rao 2020)</t>
  </si>
  <si>
    <t xml:space="preserve">Radiochimiothérapie</t>
  </si>
  <si>
    <t xml:space="preserve">Mitomycine 12 J1 + 5-FU 1000 J1-J4 et J29-J32 + Radiothérapie (ACT II)</t>
  </si>
  <si>
    <t xml:space="preserve">• Mention eviQ dans le nom ou les remarques
• Corticoïde + sétron pour un schéma à risque émétique faible</t>
  </si>
  <si>
    <t xml:space="preserve">• SUPPRIMER : Ligne « SOLUMEDROL » : risque émétique faible, un seul antiémétique suffit (MASCC/ESMO 2023) ; garder l'ONSET (ou l'inverse si tu préfères, mais un seul des deux)
• REMARQUE à remplacer : « Référence eviQ (ACT II) » → « Référence : ACT II »</t>
  </si>
  <si>
    <t xml:space="preserve">5-FU : uracilémie (DPD) avant la 1re cure ; mucite ou diarrhée de grade ≥ 2 → report</t>
  </si>
  <si>
    <t xml:space="preserve">Chimio – Capécitabine : mains-pieds et diarrhée</t>
  </si>
  <si>
    <t xml:space="preserve">ACT II (James 2013)</t>
  </si>
  <si>
    <t xml:space="preserve">Mitomycine 12 J1 + Capécitabine 825 × 2/j + Radiothérapie</t>
  </si>
  <si>
    <t xml:space="preserve">• Corticoïde + sétron pour un schéma à risque émétique faible</t>
  </si>
  <si>
    <t xml:space="preserve">• SUPPRIMER : Ligne « SOLUMEDROL » : risque émétique faible, un seul antiémétique suffit (MASCC/ESMO 2023) ; garder l'ONSET (ou l'inverse si tu préfères, mais un seul des deux)</t>
  </si>
  <si>
    <t xml:space="preserve">Capécitabine : DFG 30-50 ml/min → 75 % ; &lt; 30 contre-indiquée ; uracilémie (DPD) avant la 1re cure</t>
  </si>
  <si>
    <t xml:space="preserve">EXTRA (Glynne-Jones 2008)</t>
  </si>
  <si>
    <t xml:space="preserve">Carcinome hépatocellulaire</t>
  </si>
  <si>
    <t xml:space="preserve">Avancé / métastatique</t>
  </si>
  <si>
    <t xml:space="preserve">Atézolizumab 1200 + Bévacizumab 15 mg/kg / 21 j (IMbrave150)</t>
  </si>
  <si>
    <t xml:space="preserve">À garder</t>
  </si>
  <si>
    <t xml:space="preserve">• Conforme</t>
  </si>
  <si>
    <t xml:space="preserve">Anti-VEGF : TA &lt; 160/100 ; protéinurie &lt; 2 g/24 h (bandelette &lt; 2+) ; pas de chirurgie &lt; 28 jours
Immunothérapie : TSH, transaminases, créatinine, glycémie avant chaque cure</t>
  </si>
  <si>
    <t xml:space="preserve">IMbrave150</t>
  </si>
  <si>
    <t xml:space="preserve">Cabozantinib 60 mg/j</t>
  </si>
  <si>
    <t xml:space="preserve">CELESTIAL (CHC) ; CABOSUN / METEOR (rein)</t>
  </si>
  <si>
    <t xml:space="preserve">Rein › Rein › Métastatique</t>
  </si>
  <si>
    <t xml:space="preserve">N061</t>
  </si>
  <si>
    <t xml:space="preserve">CheckMate 9DW – phase 1 : Nivolumab 1 mg/kg + Ipilimumab 3 mg/kg / 21 j × 4</t>
  </si>
  <si>
    <t xml:space="preserve">• Manque dans la bibliothèque (référence : CheckMate 9DW)</t>
  </si>
  <si>
    <t xml:space="preserve">Rythme : J1, tous les 21 jours × 4, puis nivolumab 480 mg / 4 semaines ([260])
1. OPDIVO (nivolumab) — 1 mg/kg — Jours 1 — IV — NaCl 0,9 % 100 ml — 30 min
2. YERVOY (ipilimumab) — 3 mg/kg — Jours 1 — IV — NaCl 0,9 % 100 ml — 30 min
Remarques :
- Child-Pugh A</t>
  </si>
  <si>
    <t xml:space="preserve">Immunothérapie : TSH, transaminases, créatinine, glycémie avant chaque cure ; toxicité de grade ≥ 2 → suspendre
Ipilimumab : transaminases, TSH, cortisol ; colite de grade ≥ 2 → arrêt</t>
  </si>
  <si>
    <t xml:space="preserve">CheckMate 9DW</t>
  </si>
  <si>
    <t xml:space="preserve">Lenvatinib 12 mg/j (≥ 60 kg) ou 8 mg/j (&lt; 60 kg) – CHC</t>
  </si>
  <si>
    <t xml:space="preserve">REFLECT</t>
  </si>
  <si>
    <t xml:space="preserve">N062</t>
  </si>
  <si>
    <t xml:space="preserve">Ramucirumab 8 mg/kg / 14 j (CHC, AFP ≥ 400 ng/ml)</t>
  </si>
  <si>
    <t xml:space="preserve">• Manque dans la bibliothèque (référence : REACH-2)</t>
  </si>
  <si>
    <t xml:space="preserve">Rythme : J1 et J15, tous les 28 jours
1. POLARAMINE (dexchlorphéniramine) 5 mg/1 ml inj. — 5 mg (dose fixe) — Jours 1,15 — avant le ramucirumab — IV lente
2. CYRAMZA (ramucirumab) — 8 mg/kg — Jours 1,15 — IV — NaCl 0,9 % 250 ml — 60 min
Remarques :
- 2e ligne après sorafénib</t>
  </si>
  <si>
    <t xml:space="preserve">Anti-VEGF : TA &lt; 160/100 ; protéinurie &lt; 2 g/24 h</t>
  </si>
  <si>
    <t xml:space="preserve">REACH-2</t>
  </si>
  <si>
    <t xml:space="preserve">Sorafénib 400 mg × 2/j</t>
  </si>
  <si>
    <t xml:space="preserve">SHARP (CHC) ; DECISION (thyroïde)</t>
  </si>
  <si>
    <t xml:space="preserve">Thyroïde › Thyroïde réfractaire à l'iode › Avancé / métastatique</t>
  </si>
  <si>
    <t xml:space="preserve">Trémélimumab 300 mg (C1) + Durvalumab 1500 / 28 j (STRIDE)</t>
  </si>
  <si>
    <t xml:space="preserve">Immunothérapie : TSH, transaminases, créatinine, glycémie avant chaque cure</t>
  </si>
  <si>
    <t xml:space="preserve">HIMALAYA (STRIDE)</t>
  </si>
  <si>
    <t xml:space="preserve">Côlon</t>
  </si>
  <si>
    <t xml:space="preserve">Adjuvant</t>
  </si>
  <si>
    <t xml:space="preserve">mFOLFOX6 (J1-J15 / 28 j)</t>
  </si>
  <si>
    <t xml:space="preserve">• G-CSF systématique J4/J18 sur un schéma à faible risque de neutropénie fébrile (&lt; 10 %)
• G-CSF en texte : ni dose, ni durée (une seule injection J4/J18)
• Mention eviQ dans le nom ou les remarques</t>
  </si>
  <si>
    <t xml:space="preserve">• SUPPRIMER : Ligne « NIVESTIM 30 MU (filgrastim) » J4,18 : pas de prophylaxie primaire (risque de neutropénie fébrile &lt; 10 %)
• REMARQUE à remplacer : « Référence eviQ ID 114 / 637 : acide folinique 50 mg en dose fixe » → « Référence : MOSAIC / IDEA (adjuvant) : acide folinique 50 mg en dose fixe »
• REMARQUE à ajouter : G-CSF en prophylaxie secondaire seulement (après une neutropénie fébrile ou un report pour neutropénie)</t>
  </si>
  <si>
    <t xml:space="preserve">Oxaliplatine : neuropathie de grade ≥ 2 persistante → réduire ; grade 3 → arrêt
5-FU : uracilémie (DPD) avant la 1re cure ; mucite ou diarrhée de grade ≥ 2 → report</t>
  </si>
  <si>
    <t xml:space="preserve">Chimio – Sortie : risque émétique modéré (oxaliplatine, irinotécan…)
Chimio – Capécitabine : mains-pieds et diarrhée</t>
  </si>
  <si>
    <t xml:space="preserve">MOSAIC / IDEA (adjuvant) ; Tournigand 2004 (métastatique) ; ABC-06 (voies biliaires 2e ligne)</t>
  </si>
  <si>
    <t xml:space="preserve">Digestif › Côlon › Métastatique
Digestif › Rectum › Néoadjuvant
Digestif › Rectum › Adjuvant
Digestif › Œsophage / jonction – adénocarcinome › Adjuvant
Digestif › Œsophage / jonction – adénocarcinome › Métastatique
Digestif › Estomac › Adjuvant
Digestif › Estomac › Métastatique
Digestif › Pancréas › Métastatique
Digestif › Voies biliaires / vésicule › Avancé / métastatique</t>
  </si>
  <si>
    <t xml:space="preserve">XELOX / CAPOX</t>
  </si>
  <si>
    <t xml:space="preserve">• Mention eviQ dans le nom ou les remarques</t>
  </si>
  <si>
    <t xml:space="preserve">• REMARQUE à remplacer : « Conforme aux doses eviQ » → « Doses conformes à : NO16968/XELOXA (adjuvant) »</t>
  </si>
  <si>
    <t xml:space="preserve">Oxaliplatine : neuropathie de grade ≥ 2 persistante → réduire ; grade 3 → arrêt
Capécitabine : DFG 30-50 ml/min → 75 % ; &lt; 30 contre-indiquée ; uracilémie (DPD) avant la 1re cure</t>
  </si>
  <si>
    <t xml:space="preserve">NO16968/XELOXA (adjuvant) ; IDEA (3 ou 6 mois) ; NO16966 (métastatique)</t>
  </si>
  <si>
    <t xml:space="preserve">Digestif › Côlon › Métastatique
Digestif › Rectum › Néoadjuvant
Digestif › Rectum › Adjuvant
Digestif › Œsophage / jonction – adénocarcinome › Adjuvant
Digestif › Œsophage / jonction – adénocarcinome › Métastatique
Digestif › Estomac › Adjuvant
Digestif › Estomac › Métastatique</t>
  </si>
  <si>
    <t xml:space="preserve">N066</t>
  </si>
  <si>
    <t xml:space="preserve">5-FU 2600 mg/m² sur 24 h + Acide folinique 500 mg/m² hebdomadaire × 6 / 8 semaines (AIO)</t>
  </si>
  <si>
    <t xml:space="preserve">• Manque dans la bibliothèque (référence : AIO (Köhne 2003))</t>
  </si>
  <si>
    <t xml:space="preserve">Rythme : Chaque semaine × 6, puis 2 semaines de repos
1. ONSET (ondansétron) 8 mg/4 ml inj. — 8 mg (dose fixe) — Jours 1,8,15,22,29,36 — 30 min avant la chimiothérapie — IV — NaCl 0,9 % 50 ml — 15 min
2. ACIDE FOLINIQUE (LV) — 500 mg/m² — Jours 1,8,15,22,29,36 — IV — 2 h
3. 5-FU diffuseur 24 h — 2600 mg/m² — Jours 1,8,15,22,29,36 — / 24 h — IV continu — 24 h
Remarques :
- Alternative sans diffuseur de 46 h</t>
  </si>
  <si>
    <t xml:space="preserve">Séances hebdomadaires (J8, J15…) : PNN ≥ 1,0 G/L et plaquettes ≥ 75 G/L
5-FU : uracilémie (DPD) avant la 1re cure ; mucite ou diarrhée de grade ≥ 2 → report</t>
  </si>
  <si>
    <t xml:space="preserve">AIO (Köhne 2003)</t>
  </si>
  <si>
    <t xml:space="preserve">Digestif › Côlon › Adjuvant</t>
  </si>
  <si>
    <t xml:space="preserve">Capécitabine 1000 + Bévacizumab 7,5 mg/kg / 21 j</t>
  </si>
  <si>
    <t xml:space="preserve">Capécitabine : DFG 30-50 ml/min → 75 % ; &lt; 30 contre-indiquée ; uracilémie (DPD) avant la 1re cure
Anti-VEGF : TA &lt; 160/100 ; protéinurie &lt; 2 g/24 h (bandelette &lt; 2+) ; pas de chirurgie &lt; 28 jours</t>
  </si>
  <si>
    <t xml:space="preserve">AVEX (Cunningham 2013)</t>
  </si>
  <si>
    <t xml:space="preserve">Cétuximab 500 + Irinotécan 180 J1-J15 / 28 j</t>
  </si>
  <si>
    <t xml:space="preserve">• Cétuximab sans anti-H1 (RCP : anti-H1 + corticoïde au moins 1 h avant chaque perfusion)
• Irinotécan : atropine non prévue (syndrome cholinergique) et lopéramide non mentionné</t>
  </si>
  <si>
    <t xml:space="preserve">• AJOUTER la ligne : POLARAMINE (dexchlorphéniramine) 5 mg/1 ml inj. — 5 mg (dose fixe) — Jours 1,15 — 1 h avant le cétuximab — IV lente
• AJOUTER la ligne : ATROPINE 0,25 mg/1 ml inj. — 0,25 mg SC si syndrome cholinergique (sueurs, crampes, diarrhée précoce, larmoiement) (unité : texte libre) — Jours 1,15 — SC
• REMARQUE à ajouter : Ordonnance de sortie « Chimio – Irinotécan : diarrhée retardée » remise à chaque cure (lopéramide)</t>
  </si>
  <si>
    <t xml:space="preserve">Irinotécan : bilirubine ≤ 1,5 × N ; pas de diarrhée en cours ; génotype UGT1A1*28 si toxicité
Anti-EGFR : magnésémie ; éruption de grade 3 → report</t>
  </si>
  <si>
    <t xml:space="preserve">Chimio – Sortie : risque émétique modéré (oxaliplatine, irinotécan…)
Chimio – Irinotécan : diarrhée retardée
Chimio – Anti-EGFR : peau (cétuximab, panitumumab)</t>
  </si>
  <si>
    <t xml:space="preserve">BOND (Cunningham 2004)</t>
  </si>
  <si>
    <t xml:space="preserve">N012</t>
  </si>
  <si>
    <t xml:space="preserve">Encorafénib 300 mg/j + Cétuximab 500 + mFOLFOX6 J1-J15 / 28 j (BRAF V600E, 1re ligne)</t>
  </si>
  <si>
    <t xml:space="preserve">• Manque dans la bibliothèque (référence : BREAKWATER)</t>
  </si>
  <si>
    <t xml:space="preserve">Rythme : Encorafénib en continu ; cétuximab + mFOLFOX6 J1 et J15 – tous les 28 jours
1. ONSET (ondansétron) 8 mg/4 ml inj. — 8 mg (dose fixe) — Jours 1,15 — 30 min avant la chimiothérapie — IV — NaCl 0,9 % 50 ml — 15 min
2. SOLUMEDROL (méthylprednisolone) inj. — 60 mg (dose fixe) — Jours 1,15 — 30 min avant la chimiothérapie — IV — NaCl 0,9 % 50 ml — 15 min
3. POLARAMINE (dexchlorphéniramine) 5 mg/1 ml inj. — 5 mg (dose fixe) — Jours 1,15 — 1 h avant le cétuximab — IV lente
4. BRAFTOVI (encorafénib) 75 mg gél. — 300 mg (dose fixe) — Jours 1 (libellé « J1 → J28 (continu) ») — 4 gél. en 1 prise — Per os — 28 jours
5. ERBITUX (cétuximab) — 500 mg/m² — Jours 1,15 — IV — 2 h (C1) puis 1 h
6. OXALIPLATINE — 85 mg/m² — Jours 1,15 — IV — G5 % 250 ml — 2 h
7. ACIDE FOLINIQUE (LV) — 50 mg (dose fixe) — Jours 1,15 — IV bolus
8. 5-FU bolus — 400 mg/m² — Jours 1,15 — IV bolus
9. 5-FU diffuseur — 2400 mg/m² — Jours 1,15 — / 46 h — IV continu — 46 h
10. Retrait du diffuseur 5-FU — retrait du diffuseur (unité : texte libre) — Jours 3,17
Remarques :
- BRAF V600E, MSS</t>
  </si>
  <si>
    <t xml:space="preserve">Oxaliplatine : neuropathie de grade ≥ 2 persistante → réduire ; grade 3 → arrêt
5-FU : uracilémie (DPD) avant la 1re cure ; mucite ou diarrhée de grade ≥ 2 → report
Anti-EGFR : magnésémie ; éruption de grade 3 → report</t>
  </si>
  <si>
    <t xml:space="preserve">Chimio – Sortie : risque émétique modéré (oxaliplatine, irinotécan…)
Chimio – Capécitabine : mains-pieds et diarrhée
Chimio – Anti-EGFR : peau (cétuximab, panitumumab)</t>
  </si>
  <si>
    <t xml:space="preserve">BREAKWATER</t>
  </si>
  <si>
    <t xml:space="preserve">Encorafénib 300 mg/j + Cétuximab 500 J1-J15 / 28 j (BEACON)</t>
  </si>
  <si>
    <t xml:space="preserve">• Cétuximab sans anti-H1 (RCP : anti-H1 + corticoïde au moins 1 h avant chaque perfusion)
• Corticoïde + sétron pour un schéma à risque émétique minimal
• Encorafénib (continu) saisi aux jours J1 et J15 en plus du « continu » → Vérifier qu'une seule ligne de prise quotidienne est générée</t>
  </si>
  <si>
    <t xml:space="preserve">• SUPPRIMER : Ligne « ONSET » : risque émétique minimal, le sétron n'est pas utile ; le SOLUMEDROL reste (prémédication du cétuximab, RCP)
• AJOUTER la ligne : POLARAMINE (dexchlorphéniramine) 5 mg/1 ml inj. — 5 mg (dose fixe) — Jours 1,15 — 1 h avant le cétuximab — IV lente</t>
  </si>
  <si>
    <t xml:space="preserve">Anti-EGFR : magnésémie ; éruption de grade 3 → report</t>
  </si>
  <si>
    <t xml:space="preserve">Chimio – Anti-EGFR : peau (cétuximab, panitumumab)</t>
  </si>
  <si>
    <t xml:space="preserve">BEACON CRC</t>
  </si>
  <si>
    <t xml:space="preserve">N065</t>
  </si>
  <si>
    <t xml:space="preserve">FOLFIRI + Aflibercept 4 mg/kg J1-J15 / 28 j</t>
  </si>
  <si>
    <t xml:space="preserve">• Manque dans la bibliothèque (référence : VELOUR)</t>
  </si>
  <si>
    <t xml:space="preserve">Rythme : J1 et J15, tous les 28 jours – J3 et J17 : retrait du diffuseur
1. ONSET (ondansétron) 8 mg/4 ml inj. — 8 mg (dose fixe) — Jours 1,15 — 30 min avant la chimiothérapie — IV — NaCl 0,9 % 50 ml — 15 min
2. SOLUMEDROL (méthylprednisolone) inj. — 60 mg (dose fixe) — Jours 1,15 — 30 min avant la chimiothérapie — IV — NaCl 0,9 % 50 ml — 15 min
3. ATROPINE 0,25 mg/1 ml inj. — 0,25 mg SC si syndrome cholinergique (sueurs, crampes, diarrhée précoce, larmoiement) (unité : texte libre) — Jours 1,15 — SC
4. ZALTRAP (aflibercept) — 4 mg/kg — Jours 1,15 — IV — NaCl 0,9 % 100 ml — 1 h
5. IRINOTÉCAN — 180 mg/m² — Jours 1,15 — IV — NaCl 0,9 % 250 ml — 90 min
6. ACIDE FOLINIQUE (LV) — 50 mg (dose fixe) — Jours 1,15 — IV bolus
7. 5-FU bolus — 400 mg/m² — Jours 1,15 — IV bolus
8. 5-FU diffuseur — 2400 mg/m² — Jours 1,15 — / 46 h — IV continu — 46 h
9. Retrait du diffuseur 5-FU — retrait du diffuseur (unité : texte libre) — Jours 3,17
Remarques :
- 2e ligne après oxaliplatine</t>
  </si>
  <si>
    <t xml:space="preserve">Irinotécan : bilirubine ≤ 1,5 × N ; pas de diarrhée en cours ; génotype UGT1A1*28 si toxicité
5-FU : uracilémie (DPD) avant la 1re cure ; mucite ou diarrhée de grade ≥ 2 → report</t>
  </si>
  <si>
    <t xml:space="preserve">Chimio – Sortie : risque émétique modéré (oxaliplatine, irinotécan…)
Chimio – Irinotécan : diarrhée retardée
Chimio – Capécitabine : mains-pieds et diarrhée</t>
  </si>
  <si>
    <t xml:space="preserve">VELOUR</t>
  </si>
  <si>
    <t xml:space="preserve">FOLFIRI + Bévacizumab 5 mg/kg J1-J15 / 28 j</t>
  </si>
  <si>
    <t xml:space="preserve">• G-CSF systématique J4/J18 sur un schéma à faible risque de neutropénie fébrile (&lt; 10 %)
• Irinotécan : atropine non prévue (syndrome cholinergique) et lopéramide non mentionné
• G-CSF en texte : ni dose, ni durée (une seule injection J4/J18)
• Mention eviQ dans le nom ou les remarques</t>
  </si>
  <si>
    <t xml:space="preserve">• SUPPRIMER : Ligne « NIVESTIM 30 MU (filgrastim) » J4,18 : pas de prophylaxie primaire (risque de neutropénie fébrile &lt; 10 %)
• AJOUTER la ligne : ATROPINE 0,25 mg/1 ml inj. — 0,25 mg SC si syndrome cholinergique (sueurs, crampes, diarrhée précoce, larmoiement) (unité : texte libre) — Jours 1,15 — SC
• REMARQUE à remplacer : « Acide folinique 50 mg en dose fixe (eviQ) » → « Acide folinique 50 mg en dose fixe »
• REMARQUE à ajouter : Ordonnance de sortie « Chimio – Irinotécan : diarrhée retardée » remise à chaque cure (lopéramide)
• REMARQUE à ajouter : G-CSF en prophylaxie secondaire seulement (après une neutropénie fébrile ou un report pour neutropénie)</t>
  </si>
  <si>
    <t xml:space="preserve">Irinotécan : bilirubine ≤ 1,5 × N ; pas de diarrhée en cours ; génotype UGT1A1*28 si toxicité
5-FU : uracilémie (DPD) avant la 1re cure ; mucite ou diarrhée de grade ≥ 2 → report
Anti-VEGF : TA &lt; 160/100 ; protéinurie &lt; 2 g/24 h (bandelette &lt; 2+) ; pas de chirurgie &lt; 28 jours</t>
  </si>
  <si>
    <t xml:space="preserve">FIRE-3 (bras bévacizumab) ; TRIBE (contrôle)</t>
  </si>
  <si>
    <t xml:space="preserve">FOLFIRI + Cétuximab J1-J15 / 28 j</t>
  </si>
  <si>
    <t xml:space="preserve">• Cétuximab sans anti-H1 (RCP : anti-H1 + corticoïde au moins 1 h avant chaque perfusion)
• G-CSF systématique J4/J18 sur un schéma à faible risque de neutropénie fébrile (&lt; 10 %)
• Irinotécan : atropine non prévue (syndrome cholinergique) et lopéramide non mentionné
• G-CSF en texte : ni dose, ni durée (une seule injection J4/J18)
• Mention eviQ dans le nom ou les remarques</t>
  </si>
  <si>
    <t xml:space="preserve">• SUPPRIMER : Ligne « NIVESTIM 30 MU (filgrastim) » J4,18 : pas de prophylaxie primaire (risque de neutropénie fébrile &lt; 10 %)
• AJOUTER la ligne : POLARAMINE (dexchlorphéniramine) 5 mg/1 ml inj. — 5 mg (dose fixe) — Jours 1,15 — 1 h avant le cétuximab — IV lente
• AJOUTER la ligne : ATROPINE 0,25 mg/1 ml inj. — 0,25 mg SC si syndrome cholinergique (sueurs, crampes, diarrhée précoce, larmoiement) (unité : texte libre) — Jours 1,15 — SC
• REMARQUE à remplacer : « Référence eviQ : cétuximab 500 mg/m² toutes les 2 semaines, acide folinique 50 mg en dose fixe » → « Référence : CRYSTAL (cétuximab 500 mg/m² toutes les 2 semaines validé) : cétuximab 500 mg/m² toutes les 2 semaines, acide folinique 50 mg en dose fixe »
• REMARQUE à ajouter : Ordonnance de sortie « Chimio – Irinotécan : diarrhée retardée » remise à chaque cure (lopéramide)
• REMARQUE à ajouter : G-CSF en prophylaxie secondaire seulement (après une neutropénie fébrile ou un report pour neutropénie)</t>
  </si>
  <si>
    <t xml:space="preserve">Irinotécan : bilirubine ≤ 1,5 × N ; pas de diarrhée en cours ; génotype UGT1A1*28 si toxicité
5-FU : uracilémie (DPD) avant la 1re cure ; mucite ou diarrhée de grade ≥ 2 → report
Anti-EGFR : magnésémie ; éruption de grade 3 → report</t>
  </si>
  <si>
    <t xml:space="preserve">Chimio – Sortie : risque émétique modéré (oxaliplatine, irinotécan…)
Chimio – Irinotécan : diarrhée retardée
Chimio – Capécitabine : mains-pieds et diarrhée
Chimio – Anti-EGFR : peau (cétuximab, panitumumab)</t>
  </si>
  <si>
    <t xml:space="preserve">CRYSTAL (cétuximab 500 mg/m² toutes les 2 semaines validé)</t>
  </si>
  <si>
    <t xml:space="preserve">FOLFIRI + Panitumumab 6 mg/kg J1-J15 / 28 j</t>
  </si>
  <si>
    <t xml:space="preserve">• G-CSF systématique J4/J18 sur un schéma à faible risque de neutropénie fébrile (&lt; 10 %)
• Irinotécan : atropine non prévue (syndrome cholinergique) et lopéramide non mentionné
• G-CSF en texte : ni dose, ni durée (une seule injection J4/J18)</t>
  </si>
  <si>
    <t xml:space="preserve">• SUPPRIMER : Ligne « NIVESTIM 30 MU (filgrastim) » J4,18 : pas de prophylaxie primaire (risque de neutropénie fébrile &lt; 10 %)
• AJOUTER la ligne : ATROPINE 0,25 mg/1 ml inj. — 0,25 mg SC si syndrome cholinergique (sueurs, crampes, diarrhée précoce, larmoiement) (unité : texte libre) — Jours 1,15 — SC
• REMARQUE à ajouter : Ordonnance de sortie « Chimio – Irinotécan : diarrhée retardée » remise à chaque cure (lopéramide)
• REMARQUE à ajouter : G-CSF en prophylaxie secondaire seulement (après une neutropénie fébrile ou un report pour neutropénie)</t>
  </si>
  <si>
    <t xml:space="preserve">20050181 (Peeters 2010)</t>
  </si>
  <si>
    <t xml:space="preserve">FOLFIRI J1-J15 / 28 j</t>
  </si>
  <si>
    <t xml:space="preserve">• SUPPRIMER : Ligne « NIVESTIM 30 MU (filgrastim) » J4,18 : pas de prophylaxie primaire (risque de neutropénie fébrile &lt; 10 %)
• REMARQUE à remplacer : « Référence eviQ : acide folinique 50 mg en dose fixe » → « Référence : Douillard 2000 : acide folinique 50 mg en dose fixe »
• REMARQUE à ajouter : G-CSF en prophylaxie secondaire seulement (après une neutropénie fébrile ou un report pour neutropénie)</t>
  </si>
  <si>
    <t xml:space="preserve">Douillard 2000 ; Tournigand 2004</t>
  </si>
  <si>
    <t xml:space="preserve">Digestif › Œsophage / jonction – adénocarcinome › Métastatique
Digestif › Estomac › Métastatique
Digestif › Pancréas › Métastatique
Digestif › Voies biliaires / vésicule › Avancé / métastatique</t>
  </si>
  <si>
    <t xml:space="preserve">FOLFOXIRI + Bévacizumab 5 mg/kg J1-J15 / 28 j</t>
  </si>
  <si>
    <t xml:space="preserve">• Irinotécan : atropine non prévue (syndrome cholinergique) et lopéramide non mentionné
• G-CSF en texte : ni dose, ni durée (une seule injection J4/J18) → ligne Nivestim structurée (jours et nombre d'injections)</t>
  </si>
  <si>
    <t xml:space="preserve">• REMPLACER par : NIVESTIM (filgrastim) 30 MU/0,5 ml — 1 injection SC par jour : 30 MU, 48 MU si poids &gt; 70 kg (unité : texte libre) — Jours 4,5,6,7,8,18,19,20,21,22 (libellé « J4 → J8 et J18 → J22 : 5 + 5 = 10 injections ») — à domicile (infirmière), dès 24 h après la fin de la chimiothérapie — SC (remplace la ligne « NIVESTIM 30 MU (filgrastim) » à injection unique (J4,18))
• AJOUTER la ligne : ATROPINE 0,25 mg/1 ml inj. — 0,25 mg SC si syndrome cholinergique (sueurs, crampes, diarrhée précoce, larmoiement) (unité : texte libre) — Jours 1,15 — SC
• REMARQUE à ajouter : Ordonnance de sortie « Chimio – Irinotécan : diarrhée retardée » remise à chaque cure (lopéramide)</t>
  </si>
  <si>
    <t xml:space="preserve">Oxaliplatine : neuropathie de grade ≥ 2 persistante → réduire ; grade 3 → arrêt
Irinotécan : bilirubine ≤ 1,5 × N ; pas de diarrhée en cours ; génotype UGT1A1*28 si toxicité
5-FU : uracilémie (DPD) avant la 1re cure ; mucite ou diarrhée de grade ≥ 2 → report
Anti-VEGF : TA &lt; 160/100 ; protéinurie &lt; 2 g/24 h (bandelette &lt; 2+) ; pas de chirurgie &lt; 28 jours</t>
  </si>
  <si>
    <t xml:space="preserve">Chimio – Sortie : risque émétique modéré (oxaliplatine, irinotécan…)
Chimio – Irinotécan : diarrhée retardée
Chimio – Sous Nivestim : douleurs osseuses et NFS
Chimio – Capécitabine : mains-pieds et diarrhée</t>
  </si>
  <si>
    <t xml:space="preserve">TRIBE (Loupakis 2014)</t>
  </si>
  <si>
    <t xml:space="preserve">FOLFOXIRI J1-J15 / 28 j</t>
  </si>
  <si>
    <t xml:space="preserve">Oxaliplatine : neuropathie de grade ≥ 2 persistante → réduire ; grade 3 → arrêt
Irinotécan : bilirubine ≤ 1,5 × N ; pas de diarrhée en cours ; génotype UGT1A1*28 si toxicité
5-FU : uracilémie (DPD) avant la 1re cure ; mucite ou diarrhée de grade ≥ 2 → report</t>
  </si>
  <si>
    <t xml:space="preserve">GONO (Falcone 2007) ; TRIBE</t>
  </si>
  <si>
    <t xml:space="preserve">N064</t>
  </si>
  <si>
    <t xml:space="preserve">Fruquintinib 5 mg/j J1-J21 / 28 j</t>
  </si>
  <si>
    <t xml:space="preserve">• Manque dans la bibliothèque (référence : FRESCO-2)</t>
  </si>
  <si>
    <t xml:space="preserve">Rythme : 3 semaines sur 4
1. FRUZAQLA (fruquintinib) 5 mg gél. — 5 mg (dose fixe) — Jours 1 (libellé « J1 → J21 ») — Per os — 21 jours
Remarques :
- TA, protéinurie</t>
  </si>
  <si>
    <t xml:space="preserve">FRESCO-2</t>
  </si>
  <si>
    <t xml:space="preserve">N014</t>
  </si>
  <si>
    <t xml:space="preserve">Irinotécan 125 mg/m² J1-J8-J15-J22 / 42 j</t>
  </si>
  <si>
    <t xml:space="preserve">• Manque dans la bibliothèque (référence : Rothenberg 1996)</t>
  </si>
  <si>
    <t xml:space="preserve">Rythme : Chaque semaine × 4, puis 2 semaines de repos
1. ONSET (ondansétron) 8 mg/4 ml inj. — 8 mg (dose fixe) — Jours 1,8,15,22 — 30 min avant la chimiothérapie — IV — NaCl 0,9 % 50 ml — 15 min
2. SOLUMEDROL (méthylprednisolone) inj. — 40 mg (dose fixe) — Jours 1,8,15,22 — 30 min avant la chimiothérapie — IV — NaCl 0,9 % 50 ml — 15 min
3. ATROPINE 0,25 mg/1 ml inj. — 0,25 mg SC si syndrome cholinergique (sueurs, crampes, diarrhée précoce, larmoiement) (unité : texte libre) — Jours 1,8,15,22 — SC
4. IRINOTÉCAN — 125 mg/m² — Jours 1,8,15,22 — IV — NaCl 0,9 % 250 ml — 90 min
Remarques :
- UGT1A1*28 homozygote : réduire</t>
  </si>
  <si>
    <t xml:space="preserve">Séances hebdomadaires (J8, J15…) : PNN ≥ 1,0 G/L et plaquettes ≥ 75 G/L
Irinotécan : bilirubine ≤ 1,5 × N ; pas de diarrhée en cours ; génotype UGT1A1*28 si toxicité</t>
  </si>
  <si>
    <t xml:space="preserve">Chimio – Sortie : risque émétique modéré (oxaliplatine, irinotécan…)
Chimio – Irinotécan : diarrhée retardée</t>
  </si>
  <si>
    <t xml:space="preserve">Rothenberg 1996</t>
  </si>
  <si>
    <t xml:space="preserve">LV5FU2 + Bévacizumab 5 mg/kg J1-J15 / 28 j</t>
  </si>
  <si>
    <t xml:space="preserve">5-FU : uracilémie (DPD) avant la 1re cure ; mucite ou diarrhée de grade ≥ 2 → report
Anti-VEGF : TA &lt; 160/100 ; protéinurie &lt; 2 g/24 h (bandelette &lt; 2+) ; pas de chirurgie &lt; 28 jours</t>
  </si>
  <si>
    <t xml:space="preserve">Entretien (PRODIGE 9) ; sujets fragiles</t>
  </si>
  <si>
    <t xml:space="preserve">LV5FU2 simplifié + Erbitux (J1-J15 / 28 j)</t>
  </si>
  <si>
    <t xml:space="preserve">• Cétuximab sans anti-H1 (RCP : anti-H1 + corticoïde au moins 1 h avant chaque perfusion)
• Mention eviQ dans le nom ou les remarques
• Corticoïde + sétron pour un schéma à risque émétique faible
• Acide folinique 400 mg/m² ici, 50 mg fixe ailleurs : forme (racémique ou lévofolinate) non précisée → Préciser la forme et harmoniser</t>
  </si>
  <si>
    <t xml:space="preserve">• SUPPRIMER : Ligne « ONSET » : risque émétique faible, le sétron n'est pas utile ; le SOLUMEDROL reste (prémédication du cétuximab, RCP)
• AJOUTER la ligne : POLARAMINE (dexchlorphéniramine) 5 mg/1 ml inj. — 5 mg (dose fixe) — Jours 1,15 — 1 h avant le cétuximab — IV lente
• REMARQUE à remplacer : « Pas d’équivalent eviQ exact : protocole HGC conservé » → « Pas d’équivalent exact : protocole HGC conservé »</t>
  </si>
  <si>
    <t xml:space="preserve">5-FU : uracilémie (DPD) avant la 1re cure ; mucite ou diarrhée de grade ≥ 2 → report
Anti-EGFR : magnésémie ; éruption de grade 3 → report</t>
  </si>
  <si>
    <t xml:space="preserve">Chimio – Capécitabine : mains-pieds et diarrhée
Chimio – Anti-EGFR : peau (cétuximab, panitumumab)</t>
  </si>
  <si>
    <t xml:space="preserve">Pas d'essai pivot avec cétuximab ; entretien FU + anti-EGFR : PANAMA (panitumumab)</t>
  </si>
  <si>
    <t xml:space="preserve">LV5FU2 simplifié J1-J15 / 28 j</t>
  </si>
  <si>
    <t xml:space="preserve">• SUPPRIMER : Ligne « SOLUMEDROL » : risque émétique faible, un seul antiémétique suffit (MASCC/ESMO 2023) ; garder l'ONSET (ou l'inverse si tu préfères, mais un seul des deux)
• REMARQUE à remplacer : « Référence eviQ (de Gramont modifié) : acide folinique 50 mg en dose fixe » → « Référence : de Gramont modifié : acide folinique 50 mg en dose fixe »</t>
  </si>
  <si>
    <t xml:space="preserve">de Gramont ; Tournigand (LV5FU2 simplifié)</t>
  </si>
  <si>
    <t xml:space="preserve">mFOLFOX6 + Bévacizumab 5 mg/kg J1-J15 / 28 j</t>
  </si>
  <si>
    <t xml:space="preserve">• SUPPRIMER : Ligne « NIVESTIM 30 MU (filgrastim) » J4,18 : pas de prophylaxie primaire (risque de neutropénie fébrile &lt; 10 %)
• REMARQUE à remplacer : « Acide folinique 50 mg en dose fixe (eviQ) » → « Acide folinique 50 mg en dose fixe »
• REMARQUE à ajouter : G-CSF en prophylaxie secondaire seulement (après une neutropénie fébrile ou un report pour neutropénie)</t>
  </si>
  <si>
    <t xml:space="preserve">Oxaliplatine : neuropathie de grade ≥ 2 persistante → réduire ; grade 3 → arrêt
5-FU : uracilémie (DPD) avant la 1re cure ; mucite ou diarrhée de grade ≥ 2 → report
Anti-VEGF : TA &lt; 160/100 ; protéinurie &lt; 2 g/24 h (bandelette &lt; 2+) ; pas de chirurgie &lt; 28 jours</t>
  </si>
  <si>
    <t xml:space="preserve">TREE-2 ; NO16966</t>
  </si>
  <si>
    <t xml:space="preserve">mFOLFOX6 + Cétuximab 500 J1-J15 / 28 j</t>
  </si>
  <si>
    <t xml:space="preserve">• Cétuximab sans anti-H1 (RCP : anti-H1 + corticoïde au moins 1 h avant chaque perfusion)
• G-CSF systématique J4/J18 sur un schéma à faible risque de neutropénie fébrile (&lt; 10 %)
• G-CSF en texte : ni dose, ni durée (une seule injection J4/J18)</t>
  </si>
  <si>
    <t xml:space="preserve">• SUPPRIMER : Ligne « NIVESTIM 30 MU (filgrastim) » J4,18 : pas de prophylaxie primaire (risque de neutropénie fébrile &lt; 10 %)
• AJOUTER la ligne : POLARAMINE (dexchlorphéniramine) 5 mg/1 ml inj. — 5 mg (dose fixe) — Jours 1,15 — 1 h avant le cétuximab — IV lente
• REMARQUE à ajouter : G-CSF en prophylaxie secondaire seulement (après une neutropénie fébrile ou un report pour neutropénie)</t>
  </si>
  <si>
    <t xml:space="preserve">OPUS / TAILOR ; cétuximab 500 mg/m² toutes les 2 semaines : APEC, CECOG</t>
  </si>
  <si>
    <t xml:space="preserve">mFOLFOX6 + Herceptin (J1-J15 / 28 j)</t>
  </si>
  <si>
    <t xml:space="preserve">• G-CSF systématique J4/J18 sur un schéma à faible risque de neutropénie fébrile (&lt; 10 %)
• Trastuzumab + mFOLFOX6 dans le côlon HER2+ : aucun essai de phase III → Remplacer par tucatinib + trastuzumab (MOUNTAINEER) ou T-DXd (DESTINY-CRC02) selon disponibilité
• G-CSF en texte : ni dose, ni durée (une seule injection J4/J18)
• Mention eviQ dans le nom ou les remarques</t>
  </si>
  <si>
    <t xml:space="preserve">• SUPPRIMER : Ligne « NIVESTIM 30 MU (filgrastim) » J4,18 : pas de prophylaxie primaire (risque de neutropénie fébrile &lt; 10 %)
• REMARQUE à remplacer : « Pas d’équivalent eviQ exact : protocole HGC conservé » → « Pas d’équivalent exact : protocole HGC conservé »
• REMARQUE à ajouter : G-CSF en prophylaxie secondaire seulement (après une neutropénie fébrile ou un report pour neutropénie)
• REMARQUE à ajouter : Hors référentiel : aucun essai de phase III (CCR HER2+ : MOUNTAINEER, DESTINY-CRC02)</t>
  </si>
  <si>
    <t xml:space="preserve">Oxaliplatine : neuropathie de grade ≥ 2 persistante → réduire ; grade 3 → arrêt
5-FU : uracilémie (DPD) avant la 1re cure ; mucite ou diarrhée de grade ≥ 2 → report
Trastuzumab : FEVG ≥ 50 % (échographie tous les 3 mois) ; arrêt si baisse ≥ 10 points sous 50 %</t>
  </si>
  <si>
    <t xml:space="preserve">Aucun essai de phase III ; CCR HER2+ : MOUNTAINEER (tucatinib + trastuzumab), HERACLES (lapatinib + trastuzumab), DESTINY-CRC02 (T-DXd)</t>
  </si>
  <si>
    <t xml:space="preserve">mFOLFOX6 + Panitumumab 6 mg/kg J1-J15 / 28 j</t>
  </si>
  <si>
    <t xml:space="preserve">• G-CSF systématique J4/J18 sur un schéma à faible risque de neutropénie fébrile (&lt; 10 %)
• G-CSF en texte : ni dose, ni durée (une seule injection J4/J18)</t>
  </si>
  <si>
    <t xml:space="preserve">• SUPPRIMER : Ligne « NIVESTIM 30 MU (filgrastim) » J4,18 : pas de prophylaxie primaire (risque de neutropénie fébrile &lt; 10 %)
• REMARQUE à ajouter : G-CSF en prophylaxie secondaire seulement (après une neutropénie fébrile ou un report pour neutropénie)</t>
  </si>
  <si>
    <t xml:space="preserve">PRIME (Douillard 2010)</t>
  </si>
  <si>
    <t xml:space="preserve">Nivolumab 240 + Ipilimumab 1 mg/kg / 21 j × 4 (CheckMate 8HW)</t>
  </si>
  <si>
    <t xml:space="preserve">CheckMate 8HW</t>
  </si>
  <si>
    <t xml:space="preserve">Régorafénib 160 mg/j J1-J21 / 28 j</t>
  </si>
  <si>
    <t xml:space="preserve">CORRECT (côlon) ; GRID (GIST) ; RESORCE (CHC)</t>
  </si>
  <si>
    <t xml:space="preserve">Digestif › GIST › Métastatique
Digestif › Carcinome hépatocellulaire › Avancé / métastatique</t>
  </si>
  <si>
    <t xml:space="preserve">Trifluridine / Tipiracil + Bévacizumab 5 mg/kg J1-J15 / 28 j (SUNLIGHT)</t>
  </si>
  <si>
    <t xml:space="preserve">Anti-VEGF : TA &lt; 160/100 ; protéinurie &lt; 2 g/24 h (bandelette &lt; 2+) ; pas de chirurgie &lt; 28 jours</t>
  </si>
  <si>
    <t xml:space="preserve">SUNLIGHT</t>
  </si>
  <si>
    <t xml:space="preserve">Trifluridine / Tipiracil 35 mg/m² × 2/j J1-J5 et J8-J12 / 28 j</t>
  </si>
  <si>
    <t xml:space="preserve">• Indiqué seulement côlon → Ajouter l'indication estomac 3e ligne (TAGS)</t>
  </si>
  <si>
    <t xml:space="preserve">• INDICATION à ajouter : Digestif &gt; Estomac &gt; Métastatique (3e ligne, TAGS)</t>
  </si>
  <si>
    <t xml:space="preserve">RECOURSE (côlon) ; TAGS (estomac)</t>
  </si>
  <si>
    <t xml:space="preserve">N063</t>
  </si>
  <si>
    <t xml:space="preserve">Tucatinib 300 mg × 2/j + Trastuzumab / 21 j (CCR HER2+, RAS sauvage)</t>
  </si>
  <si>
    <t xml:space="preserve">• Manque dans la bibliothèque (référence : MOUNTAINEER)
• Créer d'abord la branche : Digestif &gt; Côlon &gt; Métastatique &gt; HER2+</t>
  </si>
  <si>
    <t xml:space="preserve">Rythme : Tucatinib en continu ; trastuzumab J1
1. TUKYSA (tucatinib) 150 mg cp — 300 mg (dose fixe) — Jours 1 (libellé « J1 → J21 (continu) ») — matin et soir — Per os — 21 jours
2. HERCEPTIN (trastuzumab) — 8/6 mg/kg charge C1 / suite — Jours 1 — IV — NaCl 0,9 % 250 ml — 90 min (C1) puis 30 min
Remarques :
- FEVG</t>
  </si>
  <si>
    <t xml:space="preserve">Trastuzumab : FEVG ≥ 50 % (échographie tous les 3 mois) ; arrêt si baisse ≥ 10 points sous 50 %</t>
  </si>
  <si>
    <t xml:space="preserve">MOUNTAINEER</t>
  </si>
  <si>
    <t xml:space="preserve">Digestif › Côlon › Métastatique › HER2+ (branche à créer)</t>
  </si>
  <si>
    <t xml:space="preserve">N013</t>
  </si>
  <si>
    <t xml:space="preserve">XELIRI : Irinotécan 200 J1 + Capécitabine 800 × 2/j J1-J14 / 21 j (± Bévacizumab 7,5 mg/kg)</t>
  </si>
  <si>
    <t xml:space="preserve">• Manque dans la bibliothèque (référence : AXEPT (Xu 2018))</t>
  </si>
  <si>
    <t xml:space="preserve">Rythme : Irinotécan (± bévacizumab) J1 ; capécitabine J1 à J14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ATROPINE 0,25 mg/1 ml inj. — 0,25 mg SC si syndrome cholinergique (sueurs, crampes, diarrhée précoce, larmoiement) (unité : texte libre) — Jours 1 — SC
4. IRINOTÉCAN — 200 mg/m² — Jours 1 — IV — NaCl 0,9 % 250 ml — 90 min
5. CAPÉCITABINE (Xeloda) — 800 mg/m² — Jours 1 (libellé « J1 → J14 ») — matin et soir — Per os — 14 jours
6. YPEVA (bévacizumab) – optionnel — 7,5 mg/kg — Jours 1 — IV — NaCl 0,9 % 100 ml — 30-90 min
Remarques :
- UGT1A1*28 homozygote : irinotécan 150 mg/m²
- Une venue toutes les 3 semaines au lieu de 2</t>
  </si>
  <si>
    <t xml:space="preserve">Irinotécan : bilirubine ≤ 1,5 × N ; pas de diarrhée en cours ; génotype UGT1A1*28 si toxicité
Capécitabine : DFG 30-50 ml/min → 75 % ; &lt; 30 contre-indiquée ; uracilémie (DPD) avant la 1re cure
Anti-VEGF : TA &lt; 160/100 ; protéinurie &lt; 2 g/24 h (bandelette &lt; 2+) ; pas de chirurgie &lt; 28 jours</t>
  </si>
  <si>
    <t xml:space="preserve">AXEPT (Xu 2018)</t>
  </si>
  <si>
    <t xml:space="preserve">XELOX + Bévacizumab</t>
  </si>
  <si>
    <t xml:space="preserve">• REMARQUE à remplacer : « Conforme aux doses eviQ » → « Doses conformes à : NO16966 (Saltz 2008) »</t>
  </si>
  <si>
    <t xml:space="preserve">Oxaliplatine : neuropathie de grade ≥ 2 persistante → réduire ; grade 3 → arrêt
Capécitabine : DFG 30-50 ml/min → 75 % ; &lt; 30 contre-indiquée ; uracilémie (DPD) avant la 1re cure
Anti-VEGF : TA &lt; 160/100 ; protéinurie &lt; 2 g/24 h (bandelette &lt; 2+) ; pas de chirurgie &lt; 28 jours</t>
  </si>
  <si>
    <t xml:space="preserve">NO16966 (Saltz 2008)</t>
  </si>
  <si>
    <t xml:space="preserve">Estomac</t>
  </si>
  <si>
    <t xml:space="preserve">Cisplatine 60 + Capécitabine / 21 j (XP) – adjuvant avec radiothérapie (ARTIST)</t>
  </si>
  <si>
    <t xml:space="preserve">• Anti-NK1 et olanzapine absents (risque émétique élevé) → ordonnance de sortie
• Phase retardée non couverte : pas de corticoïde J2-J4 après le cisplatine (J1) → ordonnance de sortie
• Hydratation du cisplatine seulement en remarque (pas de lignes NaCl, KCl, MgSO4)</t>
  </si>
  <si>
    <t xml:space="preserve">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</t>
  </si>
  <si>
    <t xml:space="preserve">Cisplatine : DFG ≥ 60 ml/min (45-59 : réduire ou carboplatine) ; magnésémie et audition avant chaque cure
Capécitabine : DFG 30-50 ml/min → 75 % ; &lt; 30 contre-indiquée ; uracilémie (DPD) avant la 1re cure</t>
  </si>
  <si>
    <t xml:space="preserve">Chimio – Sortie : risque émétique élevé (cisplatine, dacarbazine)
Chimio – Capécitabine : mains-pieds et diarrhée</t>
  </si>
  <si>
    <t xml:space="preserve">ARTIST (Lee 2012)</t>
  </si>
  <si>
    <t xml:space="preserve">CAPOX + Nivolumab 360 / 21 j (CheckMate 649)</t>
  </si>
  <si>
    <t xml:space="preserve">Oxaliplatine : neuropathie de grade ≥ 2 persistante → réduire ; grade 3 → arrêt
Capécitabine : DFG 30-50 ml/min → 75 % ; &lt; 30 contre-indiquée ; uracilémie (DPD) avant la 1re cure
Immunothérapie : TSH, transaminases, créatinine, glycémie avant chaque cure ; toxicité de grade ≥ 2 → suspendre</t>
  </si>
  <si>
    <t xml:space="preserve">CheckMate 649</t>
  </si>
  <si>
    <t xml:space="preserve">CAPOX + Zolbétuximab / 21 j (GLOW)</t>
  </si>
  <si>
    <t xml:space="preserve">• Zolbétuximab : nausées et vomissements très fréquents ; le RCP demande anti-NK1 + sétron avant chaque perfusion → Ajouter le bloc anti-NK1 + sétron + corticoïde</t>
  </si>
  <si>
    <t xml:space="preserve">Chimio – Sortie : carboplatine, Enhertu, Trodelvy (pour l'EMEND)
Chimio – Sortie : risque émétique modéré (oxaliplatine, irinotécan…)
Chimio – Capécitabine : mains-pieds et diarrhée</t>
  </si>
  <si>
    <t xml:space="preserve">GLOW (Shah 2023)</t>
  </si>
  <si>
    <t xml:space="preserve">Cisplatine 80 + 5-FU 800 J1-J5 + Tislélizumab 200 / 21 j</t>
  </si>
  <si>
    <t xml:space="preserve">Cisplatine : DFG ≥ 60 ml/min (45-59 : réduire ou carboplatine) ; magnésémie et audition avant chaque cure
5-FU : uracilémie (DPD) avant la 1re cure ; mucite ou diarrhée de grade ≥ 2 → report</t>
  </si>
  <si>
    <t xml:space="preserve">RATIONALE-305</t>
  </si>
  <si>
    <t xml:space="preserve">N067</t>
  </si>
  <si>
    <t xml:space="preserve">mFOLFOX6 + Zolbétuximab 400 mg/m² / 14 j (SPOTLIGHT, CLDN18.2+)</t>
  </si>
  <si>
    <t xml:space="preserve">• Manque dans la bibliothèque (référence : SPOTLIGHT ; RCP Vyloy)</t>
  </si>
  <si>
    <t xml:space="preserve">Rythme : J1 et J15, tous les 28 jours ; zolbétuximab 800 mg/m² à la 1re administration
1. ONSET (ondansétron) 8 mg/4 ml inj. — 8 mg (dose fixe) — Jours 1,15 — 30 min avant la chimiothérapie — IV — NaCl 0,9 % 50 ml — 15 min
2. SOLUMEDROL (méthylprednisolone) inj. — 60 mg (dose fixe) — Jours 1,15 — 30 min avant la chimiothérapie — IV — NaCl 0,9 % 50 ml — 15 min
3. VYLOY (zolbétuximab) – charge — 800 mg/m² — Jours 1 — IV — NaCl 0,9 % — 2 h minimum — C1 seule
4. VYLOY (zolbétuximab) — 400 mg/m² — Jours 15 — IV — NaCl 0,9 % — 2 h minimum — C1 seule
5. VYLOY (zolbétuximab) — 400 mg/m² — Jours 1,15 — IV — NaCl 0,9 % — 2 h minimum — sauf C1
6. OXALIPLATINE — 85 mg/m² — Jours 1,15 — IV — G5 % 250 ml — 2 h
7. ACIDE FOLINIQUE (LV) — 50 mg (dose fixe) — Jours 1,15 — IV bolus
8. 5-FU bolus — 400 mg/m² — Jours 1,15 — IV bolus
9. 5-FU diffuseur — 2400 mg/m² — Jours 1,15 — / 46 h — IV continu — 46 h
10. Retrait du diffuseur 5-FU — retrait du diffuseur (unité : texte libre) — Jours 3,17
Remarques :
- Nausées et vomissements très fréquents : anti-NK1 avant chaque perfusion (RCP)
- Ralentir la perfusion si vomissements
Pas dans le protocole (ordonnance de sortie) : EMEND</t>
  </si>
  <si>
    <t xml:space="preserve">SPOTLIGHT ; RCP Vyloy</t>
  </si>
  <si>
    <t xml:space="preserve">Digestif › Œsophage / jonction – adénocarcinome › Métastatique</t>
  </si>
  <si>
    <t xml:space="preserve">mFOLFOX6 / 14 j + Pembrolizumab 400 / 6 sem</t>
  </si>
  <si>
    <t xml:space="preserve">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</si>
  <si>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4,5,6,7,8 (libellé « J4 → J8 : 5 injections ») — à domicile (infirmière), dès 24 h après la fin de la chimiothérapie ; si G-CSF décidé — SC (remplace la ligne « NIVESTIM 30 MU (filgrastim) » sans dose ni durée)</t>
  </si>
  <si>
    <t xml:space="preserve">Oxaliplatine : neuropathie de grade ≥ 2 persistante → réduire ; grade 3 → arrêt
5-FU : uracilémie (DPD) avant la 1re cure ; mucite ou diarrhée de grade ≥ 2 → report
Immunothérapie : TSH, transaminases, créatinine, glycémie avant chaque cure ; toxicité immunologique de grade ≥ 2 → suspendre</t>
  </si>
  <si>
    <t xml:space="preserve">Chimio – Sortie : risque émétique modéré (oxaliplatine, irinotécan…)
Chimio – Sous Nivestim : douleurs osseuses et NFS (si G-CSF décidé)
Chimio – Capécitabine : mains-pieds et diarrhée</t>
  </si>
  <si>
    <t xml:space="preserve">KEYNOTE-859 (pembrolizumab 400 mg / 6 semaines : schéma autorisé)</t>
  </si>
  <si>
    <t xml:space="preserve">Paclitaxel + Carboplatine J1-J21</t>
  </si>
  <si>
    <t xml:space="preserve">• Anti-NK1 absent (modéré haut – carboplatine auc ≥ 5) → ordonnance de sortie
• Paclitaxel sans anti-H1 (prévu par le RCP avec le corticoïde)
• Mention eviQ dans le nom ou les remarques
• Rangé en « Estomac » alors que l'usage principal est gynécologique (ovaire, endomètre, col) → Ranger en Gynécologie (indications déjà présentes)</t>
  </si>
  <si>
    <t xml:space="preserve">• MODIFIER : SOLUMEDROL 120 mg → 90 mg les jours de l'aprépitant (J1) : interaction, RCP Emend (−25 % en IV)
• AJOUTER la ligne : POLARAMINE (dexchlorphéniramine) 5 mg/1 ml inj. — 5 mg (dose fixe) — Jours 1 — 30 min avant la perfusion — IV lente
• INDICATION à ajouter : Primitif inconnu &gt; Primitif inconnu &gt; Première ligne (branche à créer)
• MODIFIER : Localisation : « Ovaire / endomètre / col » (Gynécologie) au lieu de « Estomac »
• REMARQUE à remplacer : « Pas de protocole eviQ équivalent pour l’estomac : protocole HGC conservé » → « Pas de protocole équivalent pour l’estomac : protocole HGC conservé »</t>
  </si>
  <si>
    <t xml:space="preserve">Carboplatine : créatinine du jour obligatoire (Calvert, clairance plafonnée à 125 ml/min)
Paclitaxel : bilirubine ≤ 1,5 × N ; neuropathie de grade ≥ 2 → réduire</t>
  </si>
  <si>
    <t xml:space="preserve">GOG-158 / AGO-OVAR-3 (ovaire) ; GOG-209 (endomètre) ; JCOG0505 (col) ; estomac : pas de phase III</t>
  </si>
  <si>
    <t xml:space="preserve">Gynécologie › Ovaire / trompe / péritoine › Néoadjuvant / adjuvant
Gynécologie › Ovaire / trompe / péritoine › Récidive / métastatique
Gynécologie › Endomètre › Adjuvant
Gynécologie › Endomètre › Récidivant / métastatique
Tête et cou › VADS › Récidivant / métastatique
Gynécologie › Col de l'utérus › Récidivant / métastatique
Gynécologie › Vulve › Métastatique</t>
  </si>
  <si>
    <t xml:space="preserve">N015</t>
  </si>
  <si>
    <t xml:space="preserve">Ramucirumab 8 mg/kg J1-J15 / 28 j (monothérapie)</t>
  </si>
  <si>
    <t xml:space="preserve">• Manque dans la bibliothèque (référence : REGARD)</t>
  </si>
  <si>
    <t xml:space="preserve">Rythme : J1 et J15, tous les 28 jours
1. POLARAMINE (dexchlorphéniramine) 5 mg/1 ml inj. — 5 mg (dose fixe) — Jours 1,15 — avant le ramucirumab — IV lente
2. CYRAMZA (ramucirumab) — 8 mg/kg — Jours 1,15 — IV — NaCl 0,9 % 250 ml — 60 min</t>
  </si>
  <si>
    <t xml:space="preserve">REGARD</t>
  </si>
  <si>
    <t xml:space="preserve">Périopératoire</t>
  </si>
  <si>
    <t xml:space="preserve">FLOT + Durvalumab 1500 / 4 sem (MATTERHORN) (J1-J15 / 28 j)</t>
  </si>
  <si>
    <t xml:space="preserve">Oxaliplatine : neuropathie de grade ≥ 2 persistante → réduire ; grade 3 → arrêt
Docétaxel : bilirubine ≤ normale ; ne pas faire si ASAT/ALAT &gt; 1,5 × N avec PAL &gt; 2,5 × N
5-FU : uracilémie (DPD) avant la 1re cure ; mucite ou diarrhée de grade ≥ 2 → report
Immunothérapie : TSH, transaminases, créatinine, glycémie avant chaque cure</t>
  </si>
  <si>
    <t xml:space="preserve">MATTERHORN</t>
  </si>
  <si>
    <t xml:space="preserve">GIST</t>
  </si>
  <si>
    <t xml:space="preserve">Imatinib</t>
  </si>
  <si>
    <t xml:space="preserve">• REMARQUE à remplacer : « Conforme aux doses eviQ » → « Doses conformes à : GIST : SSG XVIII/AIO (adjuvant 3 ans) »
• REMARQUE à ajouter : Exon 9 de KIT : 400 mg × 2/j (protocole à créer)</t>
  </si>
  <si>
    <t xml:space="preserve">GIST : SSG XVIII/AIO (adjuvant 3 ans) ; B2222, EORTC 62005 (métastatique)</t>
  </si>
  <si>
    <t xml:space="preserve">Digestif › GIST › Métastatique</t>
  </si>
  <si>
    <t xml:space="preserve">N069</t>
  </si>
  <si>
    <t xml:space="preserve">Avapritinib 300 mg/j (PDGFRA D842V)</t>
  </si>
  <si>
    <t xml:space="preserve">• Manque dans la bibliothèque (référence : NAVIGATOR)</t>
  </si>
  <si>
    <t xml:space="preserve">Rythme : En continu, à jeun
1. AYVAKYT (avapritinib) 300 mg cp — 300 mg (dose fixe) — Jours 1 (libellé « J1 → J28 (continu) ») — 1 h avant ou 2 h après un repas — Per os — 28 jours
Remarques :
- Troubles cognitifs, œdèmes</t>
  </si>
  <si>
    <t xml:space="preserve">NAVIGATOR</t>
  </si>
  <si>
    <t xml:space="preserve">N016</t>
  </si>
  <si>
    <t xml:space="preserve">Imatinib 400 mg × 2/j (GIST exon 9)</t>
  </si>
  <si>
    <t xml:space="preserve">• Manque dans la bibliothèque (référence : MetaGIST)</t>
  </si>
  <si>
    <t xml:space="preserve">Rythme : Matin et soir en continu
1. IMATINIB 400 mg cp — 800 mg (dose fixe) — Jours 1 (libellé « J1 → J28 (continu) ») — 400 mg matin et soir au repas — Per os — 28 jours
Remarques :
- Exon 9 de KIT</t>
  </si>
  <si>
    <t xml:space="preserve">MetaGIST</t>
  </si>
  <si>
    <t xml:space="preserve">N068</t>
  </si>
  <si>
    <t xml:space="preserve">Riprétinib 150 mg/j (4e ligne)</t>
  </si>
  <si>
    <t xml:space="preserve">• Manque dans la bibliothèque (référence : INVICTUS)</t>
  </si>
  <si>
    <t xml:space="preserve">Rythme : En continu
1. QINLOCK (riprétinib) 50 mg cp — 150 mg (dose fixe) — Jours 1 (libellé « J1 → J28 (continu) ») — Per os — 28 jours
Remarques :
- Examen cutané (syndrome mains-pieds)</t>
  </si>
  <si>
    <t xml:space="preserve">INVICTUS</t>
  </si>
  <si>
    <t xml:space="preserve">Sunitinib (Sutent) 50 mg/j – 4 semaines sur 6</t>
  </si>
  <si>
    <t xml:space="preserve">Demetri 2006 (GIST) ; Motzer 2007 (rein)</t>
  </si>
  <si>
    <t xml:space="preserve">Pancréas</t>
  </si>
  <si>
    <t xml:space="preserve">Gemcitabine 1000 J1-J8-J15 + Capécitabine 830 J1-J21 / 28 j (ESPAC-4)</t>
  </si>
  <si>
    <t xml:space="preserve">Gemcitabine J8/J15 : PNN ≥ 1,0 et plaquettes ≥ 100 → 100 % ; PNN 0,5-1,0 ou plaquettes 50-100 → 75 % ; en dessous, séance non faite
Capécitabine : DFG 30-50 ml/min → 75 % ; &lt; 30 contre-indiquée ; uracilémie (DPD) avant la 1re cure</t>
  </si>
  <si>
    <t xml:space="preserve">ESPAC-4</t>
  </si>
  <si>
    <t xml:space="preserve">Localement avancé</t>
  </si>
  <si>
    <t xml:space="preserve">5-FU 225 mg/m²/j en continu + Radiothérapie</t>
  </si>
  <si>
    <t xml:space="preserve">NCCTG (O'Connell 1994) ; schéma usuel pancréas</t>
  </si>
  <si>
    <t xml:space="preserve">Digestif › Rectum › Radiochimiothérapie</t>
  </si>
  <si>
    <t xml:space="preserve">Gemcitabine 600 mg/m² hebdomadaire + Radiothérapie (E4201)</t>
  </si>
  <si>
    <t xml:space="preserve">Gemcitabine J8/J15 : PNN ≥ 1,0 et plaquettes ≥ 100 → 100 % ; PNN 0,5-1,0 ou plaquettes 50-100 → 75 % ; en dessous, séance non faite</t>
  </si>
  <si>
    <t xml:space="preserve">E4201 (Loehrer 2011)</t>
  </si>
  <si>
    <t xml:space="preserve">FOLFIRINOX J1-J15 / 28 j (complet, Conroy 2011)</t>
  </si>
  <si>
    <t xml:space="preserve">• G-CSF en texte : ni dose, ni durée (une seule injection J4/J18) → ligne Nivestim structurée (jours et nombre d'injections)</t>
  </si>
  <si>
    <t xml:space="preserve">• REMPLACER par : NIVESTIM (filgrastim) 30 MU/0,5 ml — 1 injection SC par jour : 30 MU, 48 MU si poids &gt; 70 kg (unité : texte libre) — Jours 4,5,6,7,8,18,19,20,21,22 (libellé « J4 → J8 et J18 → J22 : 5 + 5 = 10 injections ») — à domicile (infirmière), dès 24 h après la fin de la chimiothérapie — SC (remplace la ligne « NIVESTIM 30 MU (filgrastim) » à injection unique (J4,18))</t>
  </si>
  <si>
    <t xml:space="preserve">PRODIGE 4 / ACCORD 11 (Conroy 2011)</t>
  </si>
  <si>
    <t xml:space="preserve">Irinotécan liposomal 70 + LV5FU2 J1-J15 / 28 j (NAPOLI-1)</t>
  </si>
  <si>
    <t xml:space="preserve">• Irinotécan : atropine non prévue (syndrome cholinergique) et lopéramide non mentionné</t>
  </si>
  <si>
    <t xml:space="preserve">• AJOUTER la ligne : ATROPINE 0,25 mg/1 ml inj. — 0,25 mg SC si syndrome cholinergique (sueurs, crampes, diarrhée précoce, larmoiement) (unité : texte libre) — Jours 1,15 — SC
• REMARQUE à ajouter : Ordonnance de sortie « Chimio – Irinotécan : diarrhée retardée » remise à chaque cure (lopéramide)</t>
  </si>
  <si>
    <t xml:space="preserve">Irinotécan : bilirubine ≤ 1,5 × N ; pas de diarrhée en cours ; génotype UGT1A1*28 si toxicité
Irinotécan liposomal : bilirubine ≤ normale ; PNN ≥ 1,5 G/L
5-FU : uracilémie (DPD) avant la 1re cure ; mucite ou diarrhée de grade ≥ 2 → report</t>
  </si>
  <si>
    <t xml:space="preserve">Chimio – Irinotécan : diarrhée retardée
Chimio – Capécitabine : mains-pieds et diarrhée</t>
  </si>
  <si>
    <t xml:space="preserve">NAPOLI-1</t>
  </si>
  <si>
    <t xml:space="preserve">Nab-paclitaxel 125 + Gemcitabine 1000 J1-J8-J15 / 28 j (MPACT)</t>
  </si>
  <si>
    <t xml:space="preserve">Paclitaxel : bilirubine ≤ 1,5 × N ; neuropathie de grade ≥ 2 → réduire
Gemcitabine J8/J15 : PNN ≥ 1,0 et plaquettes ≥ 100 → 100 % ; PNN 0,5-1,0 ou plaquettes 50-100 → 75 % ; en dessous, séance non faite</t>
  </si>
  <si>
    <t xml:space="preserve">MPACT</t>
  </si>
  <si>
    <t xml:space="preserve">N017</t>
  </si>
  <si>
    <t xml:space="preserve">NALIRIFOX : Irinotécan liposomal 50 + Oxaliplatine 60 + LV 400 + 5-FU 2400 J1-J15 / 28 j</t>
  </si>
  <si>
    <t xml:space="preserve">• Manque dans la bibliothèque (référence : NAPOLI-3)</t>
  </si>
  <si>
    <t xml:space="preserve">Rythme : J1 et J15, tous les 28 jours – J3 et J17 : retrait du diffuseur
1. ONSET (ondansétron) 8 mg/4 ml inj. — 8 mg (dose fixe) — Jours 1,15 — 30 min avant la chimiothérapie — IV — NaCl 0,9 % 50 ml — 15 min
2. SOLUMEDROL (méthylprednisolone) inj. — 60 mg (dose fixe) — Jours 1,15 — 30 min avant la chimiothérapie — IV — NaCl 0,9 % 50 ml — 15 min
3. ATROPINE 0,25 mg/1 ml inj. — 0,25 mg SC si syndrome cholinergique (sueurs, crampes, diarrhée précoce, larmoiement) (unité : texte libre) — Jours 1,15 — SC
4. ONIVYDE (irinotécan liposomal) — 50 mg/m² — Jours 1,15 — IV — G5 % 500 ml — 90 min
5. OXALIPLATINE — 60 mg/m² — Jours 1,15 — IV — G5 % 250 ml — 2 h
6. ACIDE FOLINIQUE (LV) — 400 mg/m² — Jours 1,15 — IV — 30 min
7. 5-FU diffuseur — 2400 mg/m² — Jours 1,15 — / 46 h — IV continu — 46 h
8. Retrait du diffuseur 5-FU — retrait du diffuseur (unité : texte libre) — Jours 3,17
Remarques :
- Acide folinique : 400 mg/m² de forme racémique (200 mg/m² de lévofolinate)</t>
  </si>
  <si>
    <t xml:space="preserve">Oxaliplatine : neuropathie de grade ≥ 2 persistante → réduire ; grade 3 → arrêt
Irinotécan : bilirubine ≤ 1,5 × N ; pas de diarrhée en cours ; génotype UGT1A1*28 si toxicité
Irinotécan liposomal : bilirubine ≤ normale ; PNN ≥ 1,5 G/L
5-FU : uracilémie (DPD) avant la 1re cure ; mucite ou diarrhée de grade ≥ 2 → report</t>
  </si>
  <si>
    <t xml:space="preserve">NAPOLI-3</t>
  </si>
  <si>
    <t xml:space="preserve">N018</t>
  </si>
  <si>
    <t xml:space="preserve">Rectum</t>
  </si>
  <si>
    <t xml:space="preserve">Néoadjuvant</t>
  </si>
  <si>
    <t xml:space="preserve">Dostarlimab 500 mg / 21 j × 9 (rectum dMMR)</t>
  </si>
  <si>
    <t xml:space="preserve">• Manque dans la bibliothèque (référence : Cercek 2022)
• Créer d'abord la branche : Digestif &gt; Rectum &gt; Néoadjuvant &gt; dMMR / MSI</t>
  </si>
  <si>
    <t xml:space="preserve">Rythme : J1, tous les 21 jours pendant 6 mois
1. JEMPERLI (dostarlimab) — 500 mg (dose fixe) — Jours 1 — IV — NaCl 0,9 % 100 ml — 30 min
Remarques :
- Évaluation endoscopique et IRM à 6 semaines, 3 et 6 mois</t>
  </si>
  <si>
    <t xml:space="preserve">Cercek 2022</t>
  </si>
  <si>
    <t xml:space="preserve">Digestif › Rectum › Néoadjuvant › dMMR / MSI (branche à créer)</t>
  </si>
  <si>
    <t xml:space="preserve">mFOLFIRINOX J1-J15 / 28 j (sans bolus)</t>
  </si>
  <si>
    <t xml:space="preserve">À modifier</t>
  </si>
  <si>
    <t xml:space="preserve">• Indiqué en néoadjuvant rectum avec l'irinotécan 150 mg/m² (dose de PRODIGE 24) ; PRODIGE 23 utilise 180 mg/m² → Créer la version PRODIGE 23 (irinotécan 180) pour le rectum ou retirer l'indication rectum
• G-CSF en texte : ni dose, ni durée (une seule injection J4/J18)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</si>
  <si>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4,5,6,7,8,18,19,20,21,22 (libellé « J4 → J8 et J18 → J22 : 5 + 5 = 10 injections ») — à domicile (infirmière), dès 24 h après la fin de la chimiothérapie — SC (remplace la ligne « NIVESTIM 30 MU (filgrastim) » à injection unique (J4,18))
• COPIE à créer : Copie « mFOLFIRINOX rectum (PRODIGE 23) » : IRINOTÉCAN 180 mg/m² au lieu de 150, 6 cures ; retirer l'indication rectum de l'original
• REMARQUE à remplacer : « Référence eviQ / PRODIGE 24 : irinotécan 150 mg/m², pas de bolus de 5-FU » → « Référence : PRODIGE 24 (pancréas adjuvant) : irinotécan 150 mg/m², pas de bolus de 5-FU »</t>
  </si>
  <si>
    <t xml:space="preserve">PRODIGE 24 (pancréas adjuvant) ; rectum : PRODIGE 23 utilise l'irinotécan 180 mg/m²</t>
  </si>
  <si>
    <t xml:space="preserve">Digestif › Pancréas › Néoadjuvant
Digestif › Pancréas › Adjuvant
Digestif › Pancréas › Localement avancé
Digestif › Pancréas › Métastatique</t>
  </si>
  <si>
    <t xml:space="preserve">Xeloda + radiothérapie</t>
  </si>
  <si>
    <t xml:space="preserve">• REMARQUE à remplacer : « Conforme aux doses eviQ » → « Doses conformes à : NSABP R-04 (rectum) »</t>
  </si>
  <si>
    <t xml:space="preserve">NSABP R-04 (rectum) ; capécitabine-RT pancréas (SCALOP)</t>
  </si>
  <si>
    <t xml:space="preserve">Digestif › Pancréas › Localement avancé</t>
  </si>
  <si>
    <t xml:space="preserve">Tumeurs neuroendocrines</t>
  </si>
  <si>
    <t xml:space="preserve">CAPTEM : Capécitabine 750 J1-J14 + Témozolomide 200 J10-J14 / 28 j</t>
  </si>
  <si>
    <t xml:space="preserve">E2211 (Kunz 2023)</t>
  </si>
  <si>
    <t xml:space="preserve">Carboplatine AUC 5 + Étoposide 100 J1-J3 / 21 j</t>
  </si>
  <si>
    <t xml:space="preserve">• Anti-NK1 absent (modéré haut – carboplatine auc ≥ 5) → ordonnance de sortie
• G-CSF en texte : ni dose, ni durée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</si>
  <si>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5,6,7,8,9 (libellé « J5 → J9 : 5 injections ») — à domicile (infirmière), dès 24 h après la fin de la chimiothérapie ; si G-CSF décidé — SC (remplace la ligne « NIVESTIM 30 MU (filgrastim) » sans dose ni durée)
• REMARQUE à remplacer : « Référence eviQ ; compatible avec la radiothérapie concomitante (CBPC limité) » → « Référence : Schéma usuel (CBPC ; carcinome neuroendocrine peu différencié) ; compatible avec la radiothérapie concomitante (CBPC limité) »</t>
  </si>
  <si>
    <t xml:space="preserve">Carboplatine : créatinine du jour obligatoire (Calvert, clairance plafonnée à 125 ml/min)</t>
  </si>
  <si>
    <t xml:space="preserve">Chimio – Sortie : carboplatine, Enhertu, Trodelvy
Chimio – Sous Nivestim : douleurs osseuses et NFS (si G-CSF décidé)</t>
  </si>
  <si>
    <t xml:space="preserve">Schéma usuel (CBPC ; carcinome neuroendocrine peu différencié)</t>
  </si>
  <si>
    <t xml:space="preserve">Poumon / thorax › CBPC › Maladie étendue
Poumon / thorax › CBPC › Maladie limitée
Urologie › Prostate › Neuroendocrine</t>
  </si>
  <si>
    <t xml:space="preserve">Évérolimus 10 mg/j</t>
  </si>
  <si>
    <t xml:space="preserve">RADIANT-3 / RADIANT-4</t>
  </si>
  <si>
    <t xml:space="preserve">Lanréotide (Somatuline) 120 mg / 28 j</t>
  </si>
  <si>
    <t xml:space="preserve">CLARINET</t>
  </si>
  <si>
    <t xml:space="preserve">Octréotide LAR (Sandostatine LP) 30 mg / 28 j</t>
  </si>
  <si>
    <t xml:space="preserve">PROMID</t>
  </si>
  <si>
    <t xml:space="preserve">Sunitinib 37,5 mg/j en continu (TNE pancréatique)</t>
  </si>
  <si>
    <t xml:space="preserve">Raymond 2011</t>
  </si>
  <si>
    <t xml:space="preserve">Voies biliaires / vésicule</t>
  </si>
  <si>
    <t xml:space="preserve">Carboplatine AUC 5 + Gemcitabine 1000 J1-J8 / 21 j (voies biliaires)</t>
  </si>
  <si>
    <t xml:space="preserve">• Anti-NK1 absent (modéré haut – carboplatine auc ≥ 5) → ordonnance de sortie
• Regroupe les doublons : [300]</t>
  </si>
  <si>
    <t xml:space="preserve">• INDICATION à ajouter : Poumon / thorax › CBNPC › Métastatique › Sans altération moléculaire (vient de [300])
• À FAIRE : reprendre ici les remarques utiles de [300], puis supprimer [300]
• NOM : « … (voies biliaires) » → « Carboplatine AUC 5 + Gemcitabine 1000 J1-J8 / 21 j » (il sert aussi au poumon)</t>
  </si>
  <si>
    <t xml:space="preserve">Carboplatine : créatinine du jour obligatoire (Calvert, clairance plafonnée à 125 ml/min)
Gemcitabine J8/J15 : PNN ≥ 1,0 et plaquettes ≥ 100 → 100 % ; PNN 0,5-1,0 ou plaquettes 50-100 → 75 % ; en dessous, séance non faite</t>
  </si>
  <si>
    <t xml:space="preserve">Schéma usuel (alternative au cisplatine)</t>
  </si>
  <si>
    <t xml:space="preserve">Cisplatine 25 + Gemcitabine 1000 J1-J8 + Durvalumab 1500 / 21 j (TOPAZ-1)</t>
  </si>
  <si>
    <t xml:space="preserve">• Anti-NK1 et olanzapine absents (risque émétique élevé) → ordonnance de sortie
• Phase retardée non couverte : pas de corticoïde J2-J4 après le cisplatine (J1,8) → ordonnance de sortie
• Hydratation du cisplatine seulement en remarque (pas de lignes NaCl, KCl, MgSO4)</t>
  </si>
  <si>
    <t xml:space="preserve">• AJOUTER la ligne : HYDRATATION AVANT CISPLATINE : NaCl 0,9 % — 500 ml + KCl 1,5 g + MgSO4 2 g (unité : texte libre) — Jours 1,8 — en 1 h, avant le cisplatine — IV
• AJOUTER la ligne : HYDRATATION APRÈS CISPLATINE : NaCl 0,9 % — 500 ml (unité : texte libre) — Jours 1,8 — en 1 h, après le cisplatine ; diurèse ≥ 100 ml/h — IV</t>
  </si>
  <si>
    <t xml:space="preserve">Cisplatine : DFG ≥ 60 ml/min (45-59 : réduire ou carboplatine) ; magnésémie et audition avant chaque cure
Gemcitabine J8/J15 : PNN ≥ 1,0 et plaquettes ≥ 100 → 100 % ; PNN 0,5-1,0 ou plaquettes 50-100 → 75 % ; en dessous, séance non faite
Immunothérapie : TSH, transaminases, créatinine, glycémie avant chaque cure</t>
  </si>
  <si>
    <t xml:space="preserve">Chimio – Sortie : risque émétique élevé (cisplatine, dacarbazine)</t>
  </si>
  <si>
    <t xml:space="preserve">TOPAZ-1</t>
  </si>
  <si>
    <t xml:space="preserve">Cisplatine 25 + Gemcitabine 1000 J1-J8 + Pembrolizumab 200 / 21 j (KEYNOTE-966)</t>
  </si>
  <si>
    <t xml:space="preserve">Cisplatine : DFG ≥ 60 ml/min (45-59 : réduire ou carboplatine) ; magnésémie et audition avant chaque cure
Gemcitabine J8/J15 : PNN ≥ 1,0 et plaquettes ≥ 100 → 100 % ; PNN 0,5-1,0 ou plaquettes 50-100 → 75 % ; en dessous, séance non faite
Immunothérapie : TSH, transaminases, créatinine, glycémie avant chaque cure ; toxicité immunologique de grade ≥ 2 → suspendre</t>
  </si>
  <si>
    <t xml:space="preserve">KEYNOTE-966</t>
  </si>
  <si>
    <t xml:space="preserve">Cisplatine 25 + Gemcitabine 1000 J1-J8 / 21 j (ABC-02)</t>
  </si>
  <si>
    <t xml:space="preserve">• Anti-NK1 et olanzapine absents (risque émétique élevé) → ordonnance de sortie
• Phase retardée non couverte : pas de corticoïde J2-J4 après le cisplatine (J1,8) → ordonnance de sortie
• Hydratation du cisplatine seulement en remarque (pas de lignes NaCl, KCl, MgSO4)
• Mention eviQ dans le nom ou les remarques</t>
  </si>
  <si>
    <t xml:space="preserve">• AJOUTER la ligne : HYDRATATION AVANT CISPLATINE : NaCl 0,9 % — 500 ml + KCl 1,5 g + MgSO4 2 g (unité : texte libre) — Jours 1,8 — en 1 h, avant le cisplatine — IV
• AJOUTER la ligne : HYDRATATION APRÈS CISPLATINE : NaCl 0,9 % — 500 ml (unité : texte libre) — Jours 1,8 — en 1 h, après le cisplatine ; diurèse ≥ 100 ml/h — IV
• REMARQUE à remplacer : « Référence eviQ (voies biliaires) » → « Référence : ABC-02 – voies biliaires »</t>
  </si>
  <si>
    <t xml:space="preserve">Cisplatine : DFG ≥ 60 ml/min (45-59 : réduire ou carboplatine) ; magnésémie et audition avant chaque cure
Gemcitabine J8/J15 : PNN ≥ 1,0 et plaquettes ≥ 100 → 100 % ; PNN 0,5-1,0 ou plaquettes 50-100 → 75 % ; en dessous, séance non faite</t>
  </si>
  <si>
    <t xml:space="preserve">ABC-02</t>
  </si>
  <si>
    <t xml:space="preserve">N072</t>
  </si>
  <si>
    <t xml:space="preserve">Futibatinib 20 mg/j (FGFR2)</t>
  </si>
  <si>
    <t xml:space="preserve">• Manque dans la bibliothèque (référence : FOENIX-CCA2)</t>
  </si>
  <si>
    <t xml:space="preserve">Rythme : 1 prise par jour en continu
1. LYTGOBI (futibatinib) 4 mg cp — 20 mg (dose fixe) — Jours 1 (libellé « J1 → J28 (continu) ») — 1 prise par jour en continu — Per os — 28 jours
Remarques :
- Phosphorémie (anti-FGFR), examen ophtalmologique</t>
  </si>
  <si>
    <t xml:space="preserve">FOENIX-CCA2</t>
  </si>
  <si>
    <t xml:space="preserve">N070</t>
  </si>
  <si>
    <t xml:space="preserve">Ivosidénib 500 mg/j (IDH1 muté)</t>
  </si>
  <si>
    <t xml:space="preserve">• Manque dans la bibliothèque (référence : ClarIDHy)</t>
  </si>
  <si>
    <t xml:space="preserve">Rythme : 1 prise par jour
1. TIBSOVO (ivosidénib) 250 mg cp — 500 mg (dose fixe) — Jours 1 (libellé « J1 → J28 (continu) ») — 1 prise par jour — Per os — 28 jours
Remarques :
- ECG (QT)</t>
  </si>
  <si>
    <t xml:space="preserve">ClarIDHy</t>
  </si>
  <si>
    <t xml:space="preserve">N071</t>
  </si>
  <si>
    <t xml:space="preserve">Pémigatinib 13,5 mg/j J1-J14 / 21 j (FGFR2)</t>
  </si>
  <si>
    <t xml:space="preserve">• Manque dans la bibliothèque (référence : FIGHT-202)</t>
  </si>
  <si>
    <t xml:space="preserve">Rythme : 1 prise par jour, 2 semaines sur 3
1. PEMAZYRE (pémigatinib) 13,5 mg cp — 13,5 mg (dose fixe) — Jours 1 (libellé « J1 → J14 ») — 1 prise par jour, 2 semaines sur 3 — Per os — 14 jours
Remarques :
- Phosphorémie (anti-FGFR), examen ophtalmologique</t>
  </si>
  <si>
    <t xml:space="preserve">FIGHT-202</t>
  </si>
  <si>
    <t xml:space="preserve">Œsophage / jonction – adénocarcinome</t>
  </si>
  <si>
    <t xml:space="preserve">Nivolumab 480 mg / 28 j (adjuvant)</t>
  </si>
  <si>
    <t xml:space="preserve">À supprimer</t>
  </si>
  <si>
    <t xml:space="preserve">• Doublon de [260] (mêmes molécules, mêmes doses, même cycle)</t>
  </si>
  <si>
    <t xml:space="preserve">• SUPPRIMER LE PROTOCOLE : après avoir ajouté ses indications dans [260] (elles sont listées sur la ligne de [260])</t>
  </si>
  <si>
    <t xml:space="preserve">CheckMate 577 (œsophage) ; CheckMate 274 (vessie)</t>
  </si>
  <si>
    <t xml:space="preserve">Digestif › Œsophage – épidermoïde › Adjuvant
Urologie › Vessie / urothélium › Adjuvant</t>
  </si>
  <si>
    <t xml:space="preserve">CAPOX + Pembrolizumab 200 / 21 j (KEYNOTE-859)</t>
  </si>
  <si>
    <t xml:space="preserve">Oxaliplatine : neuropathie de grade ≥ 2 persistante → réduire ; grade 3 → arrêt
Capécitabine : DFG 30-50 ml/min → 75 % ; &lt; 30 contre-indiquée ; uracilémie (DPD) avant la 1re cure
Immunothérapie : TSH, transaminases, créatinine, glycémie avant chaque cure ; toxicité immunologique de grade ≥ 2 → suspendre</t>
  </si>
  <si>
    <t xml:space="preserve">KEYNOTE-859</t>
  </si>
  <si>
    <t xml:space="preserve">Digestif › Estomac › Métastatique</t>
  </si>
  <si>
    <t xml:space="preserve">Docétaxel 75 mg/m² J1 / 21 j</t>
  </si>
  <si>
    <t xml:space="preserve">• Docétaxel ≥ 60 mg/m² : corticoïde seulement le jour de la perfusion → ordonnance de sortie
• G-CSF en texte : ni dose, ni durée → ligne Nivestim structurée (jours et nombre d'injections)
• Rangé en « Œsophage / jonction » alors qu'il sert aussi au sein, au poumon, à la vessie et aux sarcomes → Ranger en « Toutes localisations » ou par localisation principale ; ajouter la dose 100 mg/m² (sein)
• Pas un doublon de [240] : mêmes doses, mais [240] = 6 cures, prostate hormonosensible (avec ADT), [123] = schéma général. Garder les deux ; le nom doit dire le contexte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</si>
  <si>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
• MODIFIER : Localisation : « Toutes localisations » (sert au sein, au poumon, à la vessie, aux sarcomes)</t>
  </si>
  <si>
    <t xml:space="preserve">Docétaxel : bilirubine ≤ normale ; ne pas faire si ASAT/ALAT &gt; 1,5 × N avec PAL &gt; 2,5 × N</t>
  </si>
  <si>
    <t xml:space="preserve">Chimio – Prémédication docétaxel (à prendre à domicile)
Chimio – Sous Nivestim : douleurs osseuses et NFS (si G-CSF décidé)</t>
  </si>
  <si>
    <t xml:space="preserve">COUGAR-02 (estomac) ; TAX 317 (poumon 2e ligne) ; sein : schéma usuel</t>
  </si>
  <si>
    <t xml:space="preserve">Digestif › Œsophage – épidermoïde › Métastatique
Digestif › Estomac › Métastatique
Poumon / thorax › CBNPC › Métastatique › 2e ligne
Sarcomes › Tissus mous › Avancé / métastatique / récidive
Urologie › Vessie / urothélium › Avancé / métastatique
Sein › Sein › Localisé – néoadjuvant › Triple négatif
Sein › Sein › Localisé – néoadjuvant › RH+ / HER2−
Sein › Sein › Localisé – adjuvant › Triple négatif
Sein › Sein › Localisé – adjuvant › RH+ / HER2− – chimiothérapie
Sein › Sein › Métastatique › RH+ / HER2− – chimiothérapie</t>
  </si>
  <si>
    <t xml:space="preserve">Irinotécan 180 mg/m² J1-J15 / 28 j</t>
  </si>
  <si>
    <t xml:space="preserve">Irinotécan : bilirubine ≤ 1,5 × N ; pas de diarrhée en cours ; génotype UGT1A1*28 si toxicité</t>
  </si>
  <si>
    <t xml:space="preserve">AIO (Thuss-Patience 2011) ; WJOG 4007</t>
  </si>
  <si>
    <t xml:space="preserve">mDCF J1-J15 / 28 j</t>
  </si>
  <si>
    <t xml:space="preserve">• Anti-NK1 et olanzapine absents (risque émétique élevé) → ordonnance de sortie
• Phase retardée non couverte : pas de corticoïde J2-J4 après le cisplatine (J3,17) → ordonnance de sortie
• Hydratation du cisplatine seulement en remarque (pas de lignes NaCl, KCl, MgSO4)
• Mention eviQ dans le nom ou les remarques</t>
  </si>
  <si>
    <t xml:space="preserve">• AJOUTER la ligne : SOLUMEDROL (méthylprednisolone) inj. — 60 mg (dose fixe) — Jours 3,17 — 30 min avant la chimiothérapie — IV — NaCl 0,9 % 50 ml — 15 min
• AJOUTER la ligne : HYDRATATION AVANT CISPLATINE : NaCl 0,9 % — 500 ml + KCl 1,5 g + MgSO4 2 g (unité : texte libre) — Jours 3,17 — en 1 h, avant le cisplatine — IV
• AJOUTER la ligne : HYDRATATION APRÈS CISPLATINE : NaCl 0,9 % — 500 ml (unité : texte libre) — Jours 3,17 — en 1 h, après le cisplatine ; diurèse ≥ 100 ml/h — IV
• REMARQUE à remplacer : « Pas de fiche eviQ dédiée : schéma de l’essai de référence (Shah, J Clin Oncol 2015) » → « Pas de fiche dédiée : schéma de l’essai de référence (Shah, J Clin Oncol 2015) »</t>
  </si>
  <si>
    <t xml:space="preserve">Cisplatine : DFG ≥ 60 ml/min (45-59 : réduire ou carboplatine) ; magnésémie et audition avant chaque cure
Docétaxel : bilirubine ≤ normale ; ne pas faire si ASAT/ALAT &gt; 1,5 × N avec PAL &gt; 2,5 × N
5-FU : uracilémie (DPD) avant la 1re cure ; mucite ou diarrhée de grade ≥ 2 → report</t>
  </si>
  <si>
    <t xml:space="preserve">Shah 2015 (mDCF)</t>
  </si>
  <si>
    <t xml:space="preserve">mFOLFOX6 + Nivolumab 240 J1-J15 / 28 j (CheckMate 649)</t>
  </si>
  <si>
    <t xml:space="preserve">Oxaliplatine : neuropathie de grade ≥ 2 persistante → réduire ; grade 3 → arrêt
5-FU : uracilémie (DPD) avant la 1re cure ; mucite ou diarrhée de grade ≥ 2 → report
Immunothérapie : TSH, transaminases, créatinine, glycémie avant chaque cure ; toxicité de grade ≥ 2 → suspendre</t>
  </si>
  <si>
    <t xml:space="preserve">Paclitaxel 80 J1-J8-J15 + Ramucirumab 8 mg/kg J1-J15 / 28 j (RAINBOW)</t>
  </si>
  <si>
    <t xml:space="preserve">• Paclitaxel sans anti-H1 (prévu par le RCP avec le corticoïde)</t>
  </si>
  <si>
    <t xml:space="preserve">• AJOUTER la ligne : POLARAMINE (dexchlorphéniramine) 5 mg/1 ml inj. — 5 mg (dose fixe) — Jours 1,8,15 — 30 min avant la perfusion — IV lente</t>
  </si>
  <si>
    <t xml:space="preserve">Séances hebdomadaires (J8, J15…) : PNN ≥ 1,0 G/L et plaquettes ≥ 75 G/L
Paclitaxel : bilirubine ≤ 1,5 × N ; neuropathie de grade ≥ 2 → réduire
Anti-VEGF : TA &lt; 160/100 ; protéinurie &lt; 2 g/24 h</t>
  </si>
  <si>
    <t xml:space="preserve">RAINBOW</t>
  </si>
  <si>
    <t xml:space="preserve">Paclitaxel 80 J1-J8-J15 / 28 j</t>
  </si>
  <si>
    <t xml:space="preserve">Séances hebdomadaires (J8, J15…) : PNN ≥ 1,0 G/L et plaquettes ≥ 75 G/L
Paclitaxel : bilirubine ≤ 1,5 × N ; neuropathie de grade ≥ 2 → réduire</t>
  </si>
  <si>
    <t xml:space="preserve">WJOG 4007 (Hironaka 2013) ; RAINBOW (bras contrôle)</t>
  </si>
  <si>
    <t xml:space="preserve">Digestif › Œsophage – épidermoïde › Métastatique
Digestif › Estomac › Métastatique
Sarcomes › Tissus mous › Avancé / métastatique / récidive
Sarcomes › Angiosarcome › Localisé / avancé</t>
  </si>
  <si>
    <t xml:space="preserve">Trastuzumab deruxtecan (Enhertu) 6,4 mg/kg / 21 j (estomac / jonction)</t>
  </si>
  <si>
    <t xml:space="preserve">• Anti-NK1 absent (modéré haut – trastuzumab déruxtécan (comme carboplatine)) → ordonnance de sortie
• Le protocole lui-même est juste : il suffit d'imprimer l'ordonnance indiquée</t>
  </si>
  <si>
    <t xml:space="preserve">Trastuzumab : FEVG ≥ 50 % (échographie tous les 3 mois) ; arrêt si baisse ≥ 10 points sous 50 %
T-DXd : PNN ≥ 1,5, plaquettes ≥ 100 ; toute pneumopathie interstitielle → arrêt et scanner ; FEVG</t>
  </si>
  <si>
    <t xml:space="preserve">DESTINY-Gastric01 / -04</t>
  </si>
  <si>
    <t xml:space="preserve">Métastatique HER2+</t>
  </si>
  <si>
    <t xml:space="preserve">CAPOX + Trastuzumab + Pembrolizumab / 21 j (KEYNOTE-811)</t>
  </si>
  <si>
    <t xml:space="preserve">Oxaliplatine : neuropathie de grade ≥ 2 persistante → réduire ; grade 3 → arrêt
Capécitabine : DFG 30-50 ml/min → 75 % ; &lt; 30 contre-indiquée ; uracilémie (DPD) avant la 1re cure
Trastuzumab : FEVG ≥ 50 % (échographie tous les 3 mois) ; arrêt si baisse ≥ 10 points sous 50 %
Immunothérapie : TSH, transaminases, créatinine, glycémie avant chaque cure ; toxicité immunologique de grade ≥ 2 → suspendre</t>
  </si>
  <si>
    <t xml:space="preserve">KEYNOTE-811</t>
  </si>
  <si>
    <t xml:space="preserve">Digestif › Estomac › Métastatique HER2+</t>
  </si>
  <si>
    <t xml:space="preserve">Cisplatine 80 + Capécitabine + Trastuzumab + Pertuzumab / 21 j (JACOB)</t>
  </si>
  <si>
    <t xml:space="preserve">• Anti-NK1 et olanzapine absents (risque émétique élevé) → ordonnance de sortie
• Phase retardée non couverte : pas de corticoïde J2-J4 après le cisplatine (J1) → ordonnance de sortie
• JACOB est un essai négatif : le pertuzumab n'apporte rien dans l'estomac HER2+ → Retirer ou marquer « non recommandé » ; garder ToGA [126] et KEYNOTE-811 [127]
• Hydratation du cisplatine seulement en remarque (pas de lignes NaCl, KCl, MgSO4)</t>
  </si>
  <si>
    <t xml:space="preserve">• SUPPRIMER LE PROTOCOLE : JACOB est négatif ; garder [126] ToGA et [127] KEYNOTE-811</t>
  </si>
  <si>
    <t xml:space="preserve">JACOB : essai négatif (Tabernero 2018)</t>
  </si>
  <si>
    <t xml:space="preserve">Cisplatine 80 + Capécitabine + Trastuzumab / 21 j (ToGA)</t>
  </si>
  <si>
    <t xml:space="preserve">Cisplatine : DFG ≥ 60 ml/min (45-59 : réduire ou carboplatine) ; magnésémie et audition avant chaque cure
Capécitabine : DFG 30-50 ml/min → 75 % ; &lt; 30 contre-indiquée ; uracilémie (DPD) avant la 1re cure
Trastuzumab : FEVG ≥ 50 % (échographie tous les 3 mois) ; arrêt si baisse ≥ 10 points sous 50 %</t>
  </si>
  <si>
    <t xml:space="preserve">ToGA (Bang 2010)</t>
  </si>
  <si>
    <t xml:space="preserve">FOLFIRI J1-J15 / 28 j + Trastuzumab 6 puis 4 mg/kg</t>
  </si>
  <si>
    <t xml:space="preserve">• G-CSF systématique J4/J18 sur un schéma à faible risque de neutropénie fébrile (&lt; 10 %)
• FOLFIRI + trastuzumab (estomac HER2+) : aucun essai de référence → Garder ToGA [126] / KEYNOTE-811 [127] ; ou marquer « hors référentiel »
• Irinotécan : atropine non prévue (syndrome cholinergique) et lopéramide non mentionné
• G-CSF en texte : ni dose, ni durée (une seule injection J4/J18)</t>
  </si>
  <si>
    <t xml:space="preserve">• SUPPRIMER : Ligne « NIVESTIM 30 MU (filgrastim) » J4,18 : pas de prophylaxie primaire (risque de neutropénie fébrile &lt; 10 %)
• AJOUTER la ligne : ATROPINE 0,25 mg/1 ml inj. — 0,25 mg SC si syndrome cholinergique (sueurs, crampes, diarrhée précoce, larmoiement) (unité : texte libre) — Jours 1,15 — SC
• REMARQUE à ajouter : Ordonnance de sortie « Chimio – Irinotécan : diarrhée retardée » remise à chaque cure (lopéramide)
• REMARQUE à ajouter : G-CSF en prophylaxie secondaire seulement (après une neutropénie fébrile ou un report pour neutropénie)
• REMARQUE à ajouter : Hors référentiel : aucun essai de référence ; préférer ToGA [126] ou KEYNOTE-811 [127]</t>
  </si>
  <si>
    <t xml:space="preserve">Irinotécan : bilirubine ≤ 1,5 × N ; pas de diarrhée en cours ; génotype UGT1A1*28 si toxicité
5-FU : uracilémie (DPD) avant la 1re cure ; mucite ou diarrhée de grade ≥ 2 → report
Trastuzumab : FEVG ≥ 50 % (échographie tous les 3 mois) ; arrêt si baisse ≥ 10 points sous 50 %</t>
  </si>
  <si>
    <t xml:space="preserve">Pas d'essai de référence (ToGA : cisplatine + fluoropyrimidine)</t>
  </si>
  <si>
    <t xml:space="preserve">CROSS : Carboplatine AUC 2 + Paclitaxel 50 hebdomadaire × 5 + Radiothérapie</t>
  </si>
  <si>
    <t xml:space="preserve">• Paclitaxel sans anti-H1 (prévu par le RCP avec le corticoïde)
• Mention eviQ dans le nom ou les remarques</t>
  </si>
  <si>
    <t xml:space="preserve">• AJOUTER la ligne : POLARAMINE (dexchlorphéniramine) 5 mg/1 ml inj. — 5 mg (dose fixe) — Jours 1,8,15,22,29 — 30 min avant la perfusion — IV lente
• REMARQUE à remplacer : « Référence eviQ (CROSS) – néoadjuvant ou définitif » → « Référence : CROSS – néoadjuvant ou définitif »</t>
  </si>
  <si>
    <t xml:space="preserve">Chimio – Sortie : risque émétique modéré (oxaliplatine, irinotécan…)</t>
  </si>
  <si>
    <t xml:space="preserve">CROSS (van Hagen 2012)</t>
  </si>
  <si>
    <t xml:space="preserve">Digestif › Œsophage – épidermoïde › Néoadjuvant
Digestif › Œsophage – épidermoïde › Définitif / non opérable</t>
  </si>
  <si>
    <t xml:space="preserve">FLOT (J1-J15 / 28 j)</t>
  </si>
  <si>
    <t xml:space="preserve">• G-CSF en texte : ni dose, ni durée (une seule injection J4/J18)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</si>
  <si>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3,4,5,6,7,17,18,19,20,21 (libellé « J3 → J7 et J17 → J21 : 5 + 5 = 10 injections ») — à domicile (infirmière), dès 24 h après la fin de la chimiothérapie — SC (remplace la ligne « NIVESTIM 30 MU (filgrastim) » à injection unique (J4,18))
• REMARQUE à remplacer : « Conforme aux doses eviQ (FLOT4 : acide folinique 200 mg/m², 5-FU 2600 mg/m² sur 24 h) » → « Doses conformes à : FLOT4-AIO (Al-Batran 2019) (FLOT4 : acide folinique 200 mg/m², 5-FU 2600 mg/m² sur 24 h) »</t>
  </si>
  <si>
    <t xml:space="preserve">Oxaliplatine : neuropathie de grade ≥ 2 persistante → réduire ; grade 3 → arrêt
Docétaxel : bilirubine ≤ normale ; ne pas faire si ASAT/ALAT &gt; 1,5 × N avec PAL &gt; 2,5 × N
5-FU : uracilémie (DPD) avant la 1re cure ; mucite ou diarrhée de grade ≥ 2 → report</t>
  </si>
  <si>
    <t xml:space="preserve">Chimio – Sortie : risque émétique modéré (oxaliplatine, irinotécan…)
Chimio – Sous Nivestim : douleurs osseuses et NFS
Chimio – Capécitabine : mains-pieds et diarrhée</t>
  </si>
  <si>
    <t xml:space="preserve">FLOT4-AIO (Al-Batran 2019)</t>
  </si>
  <si>
    <t xml:space="preserve">Digestif › Estomac › Périopératoire
Digestif › Estomac › Adjuvant</t>
  </si>
  <si>
    <t xml:space="preserve">FOLFOX + Radiothérapie (PRODIGE 5) (J1-J15 / 28 j)</t>
  </si>
  <si>
    <t xml:space="preserve">PRODIGE 5 / ACCORD 17 (Conroy 2014)</t>
  </si>
  <si>
    <t xml:space="preserve">Digestif › Œsophage – épidermoïde › Définitif / non opérable</t>
  </si>
  <si>
    <t xml:space="preserve">Œsophage – épidermoïde</t>
  </si>
  <si>
    <t xml:space="preserve">Cisplatine 80 + 5-FU 800 J1-J5 + Pembrolizumab 200 / 21 j (KEYNOTE-590)</t>
  </si>
  <si>
    <t xml:space="preserve">Cisplatine : DFG ≥ 60 ml/min (45-59 : réduire ou carboplatine) ; magnésémie et audition avant chaque cure
5-FU : uracilémie (DPD) avant la 1re cure ; mucite ou diarrhée de grade ≥ 2 → report
Immunothérapie : TSH, transaminases, créatinine, glycémie avant chaque cure ; toxicité immunologique de grade ≥ 2 → suspendre</t>
  </si>
  <si>
    <t xml:space="preserve">KEYNOTE-590</t>
  </si>
  <si>
    <t xml:space="preserve">Cisplatine 80 + 5-FU 800 J1-J5 / 21 j (œsophage)</t>
  </si>
  <si>
    <t xml:space="preserve">Bras de comparaison KEYNOTE-590 / CheckMate 648</t>
  </si>
  <si>
    <t xml:space="preserve">N019</t>
  </si>
  <si>
    <t xml:space="preserve">Nivolumab 240 J1-J15 + Cisplatine 80 J1 + 5-FU 800 J1-J5 / 28 j (CheckMate 648)</t>
  </si>
  <si>
    <t xml:space="preserve">• Manque dans la bibliothèque (référence : CheckMate 648)</t>
  </si>
  <si>
    <t xml:space="preserve">Rythme : Nivolumab J1 et J15 ; cisplatine J1 ; 5-FU J1 à J5 – tous les 28 jours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HYDRATATION AVANT CISPLATINE : NaCl 0,9 % — 1000 ml + KCl 1,5 g + MgSO4 2 g (unité : texte libre) — Jours 1 — en 1 h, avant le cisplatine — IV
4. HYDRATATION APRÈS CISPLATINE : NaCl 0,9 % — 1000 ml (unité : texte libre) — Jours 1 — en 1 h, après le cisplatine ; diurèse ≥ 100 ml/h — IV
5. OPDIVO (nivolumab) — 240 mg (dose fixe) — Jours 1,15 — IV — NaCl 0,9 % 100 ml — 30 min
6. CISPLATINE — 80 mg/m² — Jours 1 — IV — NaCl 0,9 % 500 ml — 1-2 h
7. 5-FLUORO-URACILE — 800 mg/m² — Jours 1 (libellé « J1 → J5 ») — /j en continu (diffuseur 120 h) — IV continu — 120 h
Remarques :
- PD-L1 (TPS ≥ 1 %) selon AMM
Pas dans le protocole (ordonnance de sortie) : EMEND, SOLUPRED, OLANZAPINE</t>
  </si>
  <si>
    <t xml:space="preserve">Cisplatine : DFG ≥ 60 ml/min (45-59 : réduire ou carboplatine) ; magnésémie et audition avant chaque cure
5-FU : uracilémie (DPD) avant la 1re cure ; mucite ou diarrhée de grade ≥ 2 → report
Immunothérapie : TSH, transaminases, créatinine, glycémie avant chaque cure ; toxicité de grade ≥ 2 → suspendre</t>
  </si>
  <si>
    <t xml:space="preserve">CheckMate 648</t>
  </si>
  <si>
    <t xml:space="preserve">Cisplatine 75 + 5-FU 1000 J1-J4 + Radiothérapie (semaines 1 et 5)</t>
  </si>
  <si>
    <t xml:space="preserve">• Anti-NK1 et olanzapine absents (risque émétique élevé) → ordonnance de sortie
• Phase retardée non couverte : pas de corticoïde J2-J4 après le cisplatine (J1) → ordonnance de sortie
• Hydratation du cisplatine seulement en remarque (pas de lignes NaCl, KCl, MgSO4)
• Mention eviQ dans le nom ou les remarques</t>
  </si>
  <si>
    <t xml:space="preserve">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remplacer : « Schéma RTOG 85-01 (eviQ) ; créer la ligne avec 2 cures » → « Schéma RTOG 85-01 ; créer la ligne avec 2 cures »</t>
  </si>
  <si>
    <t xml:space="preserve">RTOG 85-01 (Herskovic 1992)</t>
  </si>
  <si>
    <t xml:space="preserve">N020</t>
  </si>
  <si>
    <t xml:space="preserve">Gynécologie</t>
  </si>
  <si>
    <t xml:space="preserve">Col de l'utérus</t>
  </si>
  <si>
    <t xml:space="preserve">Carboplatine AUC 2 + Paclitaxel 80 hebdomadaires × 6, avant radiochimiothérapie (INTERLACE)</t>
  </si>
  <si>
    <t xml:space="preserve">• Manque dans la bibliothèque (référence : INTERLACE (McCormack 2024))
• Créer d'abord la branche : Gynécologie &gt; Col de l'utérus &gt; Induction</t>
  </si>
  <si>
    <t xml:space="preserve">Rythme : Chaque semaine × 6, puis radiochimiothérapie au cisplatine la semaine 7
1. POLARAMINE (dexchlorphéniramine) 5 mg/1 ml inj. — 5 mg (dose fixe) — Jours 1,8,15,22,29,36 — 30 min avant la perfusion — IV lente
2. SOLUMEDROL (méthylprednisolone) inj. — 80 mg (dose fixe) — Jours 1,8,15,22,29,36 — 30 min avant la chimiothérapie — IV — NaCl 0,9 % 50 ml — 15 min
3. ONSET (ondansétron) 8 mg/4 ml inj. — 8 mg (dose fixe) — Jours 1,8,15,22,29,36 — 30 min avant la chimiothérapie — IV — NaCl 0,9 % 50 ml — 15 min
4. PACLITAXEL — 80 mg/m² — Jours 1,8,15,22,29,36 — IV — NaCl 0,9 % 250 ml, filtre 0,22 µm — 1 h
5. CARBOPLATINE — AUC 2 — Jours 1,8,15,22,29,36 — IV — G5 % 250 ml — 30 min
Remarques :
- Puis cisplatine 40 hebdomadaire + RT ([171])</t>
  </si>
  <si>
    <t xml:space="preserve">INTERLACE (McCormack 2024)</t>
  </si>
  <si>
    <t xml:space="preserve">Gynécologie › Col de l'utérus › Induction (branche à créer)</t>
  </si>
  <si>
    <t xml:space="preserve">Cisplatine 40 hebdomadaire + Radiothérapie + Pembrolizumab (KEYNOTE-A18)</t>
  </si>
  <si>
    <t xml:space="preserve">• Anti-NK1 absent (élevé – cisplatine hebdomadaire + rt) → ordonnance de sortie
• Hydratation du cisplatine seulement en remarque (pas de lignes NaCl, KCl, MgSO4)
• Pembrolizumab J1 et J22 seulement : KEYNOTE-A18 = 200 mg toutes les 3 semaines × 5 puis 400 mg toutes les 6 semaines × 15 → Ajouter la phase d'entretien (protocole lié)</t>
  </si>
  <si>
    <t xml:space="preserve">• PROTOCOLE LIÉ à créer : KEYNOTE-A18 phase 2 : pembrolizumab 400 mg toutes les 6 semaines × 15 après la radiochimiothérapie
• AJOUTER la ligne : HYDRATATION AVANT CISPLATINE : NaCl 0,9 % — 500 ml + KCl 1,5 g + MgSO4 2 g (unité : texte libre) — Jours 1,8,15,22,29 — en 1 h, avant le cisplatine — IV
• AJOUTER la ligne : HYDRATATION APRÈS CISPLATINE : NaCl 0,9 % — 500 ml (unité : texte libre) — Jours 1,8,15,22,29 — en 1 h, après le cisplatine ; diurèse ≥ 100 ml/h — IV</t>
  </si>
  <si>
    <t xml:space="preserve">Séances hebdomadaires (J8, J15…) : PNN ≥ 1,0 G/L et plaquettes ≥ 75 G/L
Cisplatine : DFG ≥ 60 ml/min (45-59 : réduire ou carboplatine) ; magnésémie et audition avant chaque cure
Immunothérapie : TSH, transaminases, créatinine, glycémie avant chaque cure ; toxicité immunologique de grade ≥ 2 → suspendre</t>
  </si>
  <si>
    <t xml:space="preserve">Chimio – Sortie : carboplatine, Enhertu, Trodelvy (même contenu pour le cisplatine hebdomadaire + RT)</t>
  </si>
  <si>
    <t xml:space="preserve">KEYNOTE-A18</t>
  </si>
  <si>
    <t xml:space="preserve">N074</t>
  </si>
  <si>
    <t xml:space="preserve">Récidivant / métastatique</t>
  </si>
  <si>
    <t xml:space="preserve">Cémiplimab 350 mg / 21 j</t>
  </si>
  <si>
    <t xml:space="preserve">• Manque dans la bibliothèque (référence : EMPOWER-Cervical 1)</t>
  </si>
  <si>
    <t xml:space="preserve">Rythme : J1, tous les 21 jours
1. LIBTAYO (cémiplimab) — 350 mg (dose fixe) — Jours 1 — IV — NaCl 0,9 % 100 ml — 30 min
Remarques :
- 2e ligne</t>
  </si>
  <si>
    <t xml:space="preserve">EMPOWER-Cervical 1</t>
  </si>
  <si>
    <t xml:space="preserve">Cisplatine 50 + Paclitaxel 175 + Bévacizumab 15 mg/kg + Pembrolizumab 200 / 21 j</t>
  </si>
  <si>
    <t xml:space="preserve">• Anti-NK1 et olanzapine absents (risque émétique élevé) → ordonnance de sortie
• Phase retardée non couverte : pas de corticoïde J2-J4 après le cisplatine (J1) → ordonnance de sortie
• Paclitaxel sans anti-H1 (prévu par le RCP avec le corticoïde)
• Hydratation du cisplatine seulement en remarque (pas de lignes NaCl, KCl, MgSO4)</t>
  </si>
  <si>
    <t xml:space="preserve">• MODIFIER : SOLUMEDROL 80 mg → 60 mg les jours de l'aprépitant (J1) : interaction, RCP Emend (−25 % en IV)
• AJOUTER la ligne : POLARAMINE (dexchlorphéniramine) 5 mg/1 ml inj. — 5 mg (dose fixe) — Jours 1 — 30 min avant la perfusion — IV lente
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</t>
  </si>
  <si>
    <t xml:space="preserve">Cisplatine : DFG ≥ 60 ml/min (45-59 : réduire ou carboplatine) ; magnésémie et audition avant chaque cure
Paclitaxel : bilirubine ≤ 1,5 × N ; neuropathie de grade ≥ 2 → réduire
Anti-VEGF : TA &lt; 160/100 ; protéinurie &lt; 2 g/24 h (bandelette &lt; 2+) ; pas de chirurgie &lt; 28 jours
Immunothérapie : TSH, transaminases, créatinine, glycémie avant chaque cure ; toxicité immunologique de grade ≥ 2 → suspendre</t>
  </si>
  <si>
    <t xml:space="preserve">KEYNOTE-826</t>
  </si>
  <si>
    <t xml:space="preserve">Cisplatine 50 + Paclitaxel 175 + Bévacizumab 15 mg/kg / 21 j (GOG-240)</t>
  </si>
  <si>
    <t xml:space="preserve">Cisplatine : DFG ≥ 60 ml/min (45-59 : réduire ou carboplatine) ; magnésémie et audition avant chaque cure
Paclitaxel : bilirubine ≤ 1,5 × N ; neuropathie de grade ≥ 2 → réduire
Anti-VEGF : TA &lt; 160/100 ; protéinurie &lt; 2 g/24 h (bandelette &lt; 2+) ; pas de chirurgie &lt; 28 jours</t>
  </si>
  <si>
    <t xml:space="preserve">GOG-240</t>
  </si>
  <si>
    <t xml:space="preserve">Cisplatine 50 + Paclitaxel 175 + Pembrolizumab 200 / 21 j</t>
  </si>
  <si>
    <t xml:space="preserve">Cisplatine : DFG ≥ 60 ml/min (45-59 : réduire ou carboplatine) ; magnésémie et audition avant chaque cure
Paclitaxel : bilirubine ≤ 1,5 × N ; neuropathie de grade ≥ 2 → réduire
Immunothérapie : TSH, transaminases, créatinine, glycémie avant chaque cure ; toxicité immunologique de grade ≥ 2 → suspendre</t>
  </si>
  <si>
    <t xml:space="preserve">KEYNOTE-826 (sans bévacizumab)</t>
  </si>
  <si>
    <t xml:space="preserve">Paclitaxel 175 + Carboplatine AUC 5 + Bévacizumab 15 mg/kg + Pembrolizumab 200 / 21 j</t>
  </si>
  <si>
    <t xml:space="preserve">• MODIFIER : SOLUMEDROL 80 mg → 60 mg les jours de l'aprépitant (J1) : interaction, RCP Emend (−25 % en IV)
• AJOUTER la ligne : POLARAMINE (dexchlorphéniramine) 5 mg/1 ml inj. — 5 mg (dose fixe) — Jours 1 — 30 min avant la perfusion — IV lente</t>
  </si>
  <si>
    <t xml:space="preserve">Carboplatine : créatinine du jour obligatoire (Calvert, clairance plafonnée à 125 ml/min)
Paclitaxel : bilirubine ≤ 1,5 × N ; neuropathie de grade ≥ 2 → réduire
Anti-VEGF : TA &lt; 160/100 ; protéinurie &lt; 2 g/24 h (bandelette &lt; 2+) ; pas de chirurgie &lt; 28 jours
Immunothérapie : TSH, transaminases, créatinine, glycémie avant chaque cure ; toxicité immunologique de grade ≥ 2 → suspendre</t>
  </si>
  <si>
    <t xml:space="preserve">KEYNOTE-826 (carboplatine)</t>
  </si>
  <si>
    <t xml:space="preserve">N073</t>
  </si>
  <si>
    <t xml:space="preserve">Tisotumab védotin 2 mg/kg / 21 j</t>
  </si>
  <si>
    <t xml:space="preserve">• Manque dans la bibliothèque (référence : innovaTV 301)</t>
  </si>
  <si>
    <t xml:space="preserve">Rythme : J1, tous les 21 jours
1. Collyre corticoïde + collyre vasoconstricteur + compresses froides — avant, pendant et après la perfusion (RCP) (unité : texte libre) — Jours 1 — Oculaire
2. TIVDAK (tisotumab védotin) — 2 mg/kg — Jours 1 — IV — NaCl 0,9 % — 30 min — max 200 mg
Remarques :
- Examen ophtalmologique avant chaque cure</t>
  </si>
  <si>
    <t xml:space="preserve">innovaTV 301</t>
  </si>
  <si>
    <t xml:space="preserve">Endomètre</t>
  </si>
  <si>
    <t xml:space="preserve">Cisplatine 50 J1-J22 + Radiothérapie (PORTEC-3), puis Carboplatine + Paclitaxel × 4</t>
  </si>
  <si>
    <t xml:space="preserve">• Protocole incomplet : seule la phase cisplatine + RT est saisie ; les 4 cycles carboplatine AUC 5 + paclitaxel 175 qui suivent ne sont pas dans le protocole → Ajouter la 2e phase (ou un protocole lié « PORTEC-3 phase 2 ») pour que le calendrier et les doses suivent
• Anti-NK1 et olanzapine absents (risque émétique élevé) → ordonnance de sortie
• Phase retardée non couverte : pas de corticoïde J2-J4 après le cisplatine (J1,22) → ordonnance de sortie
• Hydratation du cisplatine seulement en remarque (pas de lignes NaCl, KCl, MgSO4)</t>
  </si>
  <si>
    <t xml:space="preserve">• PROTOCOLE LIÉ à créer : Nom « PORTEC-3 – phase 2 : Carboplatine AUC 5 + Paclitaxel 175 / 21 j × 4 », cycle 21, à démarrer 3 semaines après la fin de la RT
• PROTOCOLE LIÉ, ligne : ONSET (ondansétron) 8 mg/4 ml inj. — 8 mg (dose fixe) — Jours 1 — 30 min avant la chimiothérapie — IV — NaCl 0,9 % 50 ml — 15 min
• PROTOCOLE LIÉ, ligne : SOLUMEDROL (méthylprednisolone) inj. — 80 mg (dose fixe) — Jours 1 — 30 min avant la chimiothérapie — IV — NaCl 0,9 % 50 ml — 15 min (dose réduite de 25 % pour l'aprépitant)
• PROTOCOLE LIÉ, ligne : POLARAMINE (dexchlorphéniramine) 5 mg/1 ml inj. — 5 mg (dose fixe) — Jours 1 — 30 min avant la perfusion — IV lente
• PROTOCOLE LIÉ, ligne : PACLITAXEL — 175 mg/m² — Jours 1 — IV — NaCl 0,9 % 500 ml, filtre 0,22 µm — 3 h
• PROTOCOLE LIÉ, ligne : CARBOPLATINE — AUC 5 — Jours 1 — IV — G5 % 250 ml — 30-60 min
• AJOUTER la ligne : HYDRATATION AVANT CISPLATINE : NaCl 0,9 % — 1000 ml + KCl 1,5 g + MgSO4 2 g (unité : texte libre) — Jours 1,22 — en 1 h, avant le cisplatine — IV
• AJOUTER la ligne : HYDRATATION APRÈS CISPLATINE : NaCl 0,9 % — 1000 ml (unité : texte libre) — Jours 1,22 — en 1 h, après le cisplatine ; diurèse ≥ 100 ml/h — IV</t>
  </si>
  <si>
    <t xml:space="preserve">Cisplatine : DFG ≥ 60 ml/min (45-59 : réduire ou carboplatine) ; magnésémie et audition avant chaque cure</t>
  </si>
  <si>
    <t xml:space="preserve">Chimio – Sortie : risque émétique élevé (cisplatine, dacarbazine)
Chimio – Sortie : carboplatine, Enhertu, Trodelvy (pour le protocole lié)</t>
  </si>
  <si>
    <t xml:space="preserve">PORTEC-3</t>
  </si>
  <si>
    <t xml:space="preserve">Gynécologie › Endomètre › Radiochimiothérapie</t>
  </si>
  <si>
    <t xml:space="preserve">N075</t>
  </si>
  <si>
    <t xml:space="preserve">Dostarlimab 500 mg / 21 j × 4 puis 1000 mg / 6 semaines (dMMR, 2e ligne)</t>
  </si>
  <si>
    <t xml:space="preserve">• Manque dans la bibliothèque (référence : GARNET)</t>
  </si>
  <si>
    <t xml:space="preserve">Rythme : J1, tous les 21 jours × 4, puis protocole à 1000 mg toutes les 6 semaines
1. JEMPERLI (dostarlimab) — 500 mg (dose fixe) — Jours 1 — IV — NaCl 0,9 % 100 ml — 30 min
Remarques :
- Phase 2 : dostarlimab 1000 mg, cycle de 42 jours</t>
  </si>
  <si>
    <t xml:space="preserve">GARNET</t>
  </si>
  <si>
    <t xml:space="preserve">N076</t>
  </si>
  <si>
    <t xml:space="preserve">Évérolimus 10 mg + Létrozole 2,5 mg/j</t>
  </si>
  <si>
    <t xml:space="preserve">• Manque dans la bibliothèque (référence : Slomovitz 2015)</t>
  </si>
  <si>
    <t xml:space="preserve">Rythme : En continu
1. ÉVÉROLIMUS (Afinitor) 10 mg cp — 10 mg (dose fixe) — Jours 1 (libellé « J1 → J28 (continu) ») — Per os — 28 jours
2. LÉTROZOLE 2,5 mg — 2,5 mg (dose fixe) — Jours 1 (libellé « J1 → J28 (continu) ») — Per os — 28 jours
Remarques :
- Bains de bouche (stomatite), glycémie</t>
  </si>
  <si>
    <t xml:space="preserve">Slomovitz 2015</t>
  </si>
  <si>
    <t xml:space="preserve">Médroxyprogestérone 200 mg/j</t>
  </si>
  <si>
    <t xml:space="preserve">GOG-81 (Thigpen 1999)</t>
  </si>
  <si>
    <t xml:space="preserve">Mégestrol 160 mg/j</t>
  </si>
  <si>
    <t xml:space="preserve">Schéma usuel</t>
  </si>
  <si>
    <t xml:space="preserve">Paclitaxel 175 + Carboplatine AUC 5 + Dostarlimab 500 / 21 j (RUBY)</t>
  </si>
  <si>
    <t xml:space="preserve">RUBY</t>
  </si>
  <si>
    <t xml:space="preserve">Paclitaxel 175 + Carboplatine AUC 5 + Durvalumab 1120 / 21 j (DUO-E)</t>
  </si>
  <si>
    <t xml:space="preserve">Carboplatine : créatinine du jour obligatoire (Calvert, clairance plafonnée à 125 ml/min)
Paclitaxel : bilirubine ≤ 1,5 × N ; neuropathie de grade ≥ 2 → réduire
Immunothérapie : TSH, transaminases, créatinine, glycémie avant chaque cure</t>
  </si>
  <si>
    <t xml:space="preserve">DUO-E</t>
  </si>
  <si>
    <t xml:space="preserve">Paclitaxel 175 + Carboplatine AUC 5 + Pembrolizumab 200 / 21 j</t>
  </si>
  <si>
    <t xml:space="preserve">• Anti-NK1 absent (modéré haut – carboplatine auc ≥ 5) → ordonnance de sortie
• Paclitaxel sans anti-H1 (prévu par le RCP avec le corticoïde)
• Aucune localisation ni indication : invisible dans l'arborescence → Rattacher à Endomètre (NRG-GY018) et Col (KEYNOTE-826)</t>
  </si>
  <si>
    <t xml:space="preserve">• NOM : « Paclitaxel 175 + Carboplatine AUC 5 + Pembrolizumab 200 / 21 j » → « … (NRG-GY018 ; KEYNOTE-826) »
• MODIFIER : SOLUMEDROL 80 mg → 60 mg les jours de l'aprépitant (J1) : interaction, RCP Emend (−25 % en IV)
• AJOUTER la ligne : POLARAMINE (dexchlorphéniramine) 5 mg/1 ml inj. — 5 mg (dose fixe) — Jours 1 — 30 min avant la perfusion — IV lente
• INDICATION à ajouter : Gynécologie &gt; Endomètre &gt; Récidivant / métastatique
• INDICATION à ajouter : Gynécologie &gt; Col de l'utérus &gt; Récidivant / métastatique</t>
  </si>
  <si>
    <t xml:space="preserve">Carboplatine : créatinine du jour obligatoire (Calvert, clairance plafonnée à 125 ml/min)
Paclitaxel : bilirubine ≤ 1,5 × N ; neuropathie de grade ≥ 2 → réduire
Immunothérapie : TSH, transaminases, créatinine, glycémie avant chaque cure ; toxicité immunologique de grade ≥ 2 → suspendre</t>
  </si>
  <si>
    <t xml:space="preserve">NRG-GY018 (endomètre) ; KEYNOTE-826 (col, sans bévacizumab)</t>
  </si>
  <si>
    <t xml:space="preserve">Ovaire / trompe / péritoine</t>
  </si>
  <si>
    <t xml:space="preserve">Entretien</t>
  </si>
  <si>
    <t xml:space="preserve">Bévacizumab (Ypeva) 15 mg/kg J1-J21 – entretien</t>
  </si>
  <si>
    <t xml:space="preserve">GOG-218</t>
  </si>
  <si>
    <t xml:space="preserve">Bévacizumab (Ypeva) 7,5 mg/kg J1-J21 – entretien</t>
  </si>
  <si>
    <t xml:space="preserve">ICON7 (bévacizumab 7,5 mg/kg)</t>
  </si>
  <si>
    <t xml:space="preserve">Niraparib 200 mg/j (&lt; 77 kg ou plaquettes &lt; 150 G/L)</t>
  </si>
  <si>
    <t xml:space="preserve">PRIMA (dose individualisée)</t>
  </si>
  <si>
    <t xml:space="preserve">Niraparib 300 mg/j (≥ 77 kg et plaquettes ≥ 150 G/L ; récidive platino-sensible)</t>
  </si>
  <si>
    <t xml:space="preserve">NOVA</t>
  </si>
  <si>
    <t xml:space="preserve">Olaparib 300 mg × 2/j + Bévacizumab 15 mg/kg (PAOLA-1)</t>
  </si>
  <si>
    <t xml:space="preserve">PAOLA-1</t>
  </si>
  <si>
    <t xml:space="preserve">N021</t>
  </si>
  <si>
    <t xml:space="preserve">Néoadjuvant / adjuvant</t>
  </si>
  <si>
    <t xml:space="preserve">Carboplatine AUC 2 + Paclitaxel 60 hebdomadaires / 21 j × 6 (MITO-7)</t>
  </si>
  <si>
    <t xml:space="preserve">• Manque dans la bibliothèque (référence : MITO-7 (Pignata 2014))</t>
  </si>
  <si>
    <t xml:space="preserve">Rythme : J1, J8, J15 – tous les 21 jours × 6 (18 semaines)
1. POLARAMINE (dexchlorphéniramine) 5 mg/1 ml inj. — 5 mg (dose fixe) — Jours 1,8,15 — 30 min avant la perfusion — IV lente
2. SOLUMEDROL (méthylprednisolone) inj. — 60 mg (dose fixe) — Jours 1,8,15 — 30 min avant la chimiothérapie — IV — NaCl 0,9 % 50 ml — 15 min
3. ONSET (ondansétron) 8 mg/4 ml inj. — 8 mg (dose fixe) — Jours 1,8,15 — 30 min avant la chimiothérapie — IV — NaCl 0,9 % 50 ml — 15 min
4. PACLITAXEL — 60 mg/m² — Jours 1,8,15 — IV — NaCl 0,9 % 250 ml, filtre 0,22 µm — 1 h
5. CARBOPLATINE — AUC 2 — Jours 1,8,15 — IV — G5 % 250 ml — 30 min
Remarques :
- Moins de neutropénie et de neuropathie que toutes les 3 semaines</t>
  </si>
  <si>
    <t xml:space="preserve">MITO-7 (Pignata 2014)</t>
  </si>
  <si>
    <t xml:space="preserve">Docétaxel 75 + Carboplatine AUC 5 J1-J21 × 6</t>
  </si>
  <si>
    <t xml:space="preserve">• Anti-NK1 absent (modéré haut – carboplatine auc ≥ 5) → ordonnance de sortie
• Docétaxel ≥ 60 mg/m² : corticoïde seulement le jour de la perfusion → ordonnance de sortie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</si>
  <si>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
• MODIFIER : SOLUMEDROL 80 mg → 60 mg les jours de l'aprépitant (J1) : interaction, RCP Emend (−25 % en IV)</t>
  </si>
  <si>
    <t xml:space="preserve">Carboplatine : créatinine du jour obligatoire (Calvert, clairance plafonnée à 125 ml/min)
Docétaxel : bilirubine ≤ normale ; ne pas faire si ASAT/ALAT &gt; 1,5 × N avec PAL &gt; 2,5 × N</t>
  </si>
  <si>
    <t xml:space="preserve">Chimio – Sortie : carboplatine, Enhertu, Trodelvy
Chimio – Prémédication docétaxel (à prendre à domicile)
Chimio – Sous Nivestim : douleurs osseuses et NFS (si G-CSF décidé)</t>
  </si>
  <si>
    <t xml:space="preserve">SCOTROC1 (Vasey 2004)</t>
  </si>
  <si>
    <t xml:space="preserve">N022</t>
  </si>
  <si>
    <t xml:space="preserve">Paclitaxel 80 J1-J8-J15 + Carboplatine AUC 6 J1 / 21 j × 6 (dose dense)</t>
  </si>
  <si>
    <t xml:space="preserve">• Manque dans la bibliothèque (référence : JGOG 3016 ; ICON8)</t>
  </si>
  <si>
    <t xml:space="preserve">Rythme : Carboplatine J1 ; paclitaxel J1, J8, J15 – tous les 21 jours × 6
1. ONSET (ondansétron) 8 mg/4 ml inj. — 8 mg (dose fixe) — Jours 1,8,15 — 30 min avant la chimiothérapie — IV — NaCl 0,9 % 50 ml — 15 min
2. SOLUMEDROL (méthylprednisolone) inj. — 60 mg (dose fixe) — Jours 1 — 30 min avant la chimiothérapie — IV — NaCl 0,9 % 50 ml — 15 min
3. POLARAMINE (dexchlorphéniramine) 5 mg/1 ml inj. — 5 mg (dose fixe) — Jours 1,8,15 — 30 min avant la perfusion — IV lente
4. SOLUMEDROL (méthylprednisolone) inj. — 80 mg (dose fixe) — Jours 1,8,15 — 30 min avant la chimiothérapie — IV — NaCl 0,9 % 50 ml — 15 min
5. PACLITAXEL — 80 mg/m² — Jours 1,8,15 — IV — NaCl 0,9 % 250 ml, filtre 0,22 µm — 1 h
6. CARBOPLATINE — AUC 6 — Jours 1 — IV — G5 % 250 ml — 30-60 min
Remarques :
- Bénéfice discuté après ICON8
Pas dans le protocole (ordonnance de sortie) : EMEND</t>
  </si>
  <si>
    <t xml:space="preserve">JGOG 3016 ; ICON8</t>
  </si>
  <si>
    <t xml:space="preserve">Récidive / métastatique</t>
  </si>
  <si>
    <t xml:space="preserve">Carboplatine AUC 4 + Gemcitabine 1000 J1-J8 / 21 j (ovaire)</t>
  </si>
  <si>
    <t xml:space="preserve">AGO-OVAR (Pfisterer 2006)</t>
  </si>
  <si>
    <t xml:space="preserve">Carboplatine AUC 4 + Gemcitabine J1-J8 + Bévacizumab 15 mg/kg / 21 j</t>
  </si>
  <si>
    <t xml:space="preserve">Carboplatine : créatinine du jour obligatoire (Calvert, clairance plafonnée à 125 ml/min)
Gemcitabine J8/J15 : PNN ≥ 1,0 et plaquettes ≥ 100 → 100 % ; PNN 0,5-1,0 ou plaquettes 50-100 → 75 % ; en dessous, séance non faite
Anti-VEGF : TA &lt; 160/100 ; protéinurie &lt; 2 g/24 h (bandelette &lt; 2+) ; pas de chirurgie &lt; 28 jours</t>
  </si>
  <si>
    <t xml:space="preserve">OCEANS</t>
  </si>
  <si>
    <t xml:space="preserve">Carboplatine AUC 5 + Doxorubicine liposomale 30 + Bévacizumab 10 mg/kg J1-J15 / 28 j × 6</t>
  </si>
  <si>
    <t xml:space="preserve">• Anti-NK1 absent (modéré haut – carboplatine auc ≥ 5) → ordonnance de sortie
• Le protocole lui-même est juste : il suffit d'imprimer l'ordonnance indiquée</t>
  </si>
  <si>
    <t xml:space="preserve">Carboplatine : créatinine du jour obligatoire (Calvert, clairance plafonnée à 125 ml/min)
Anthracycline : FEVG ≥ 50 % ; cumul doxorubicine ≤ 450 mg/m² (épirubicine ≤ 900)
Anti-VEGF : TA &lt; 160/100 ; protéinurie &lt; 2 g/24 h (bandelette &lt; 2+) ; pas de chirurgie &lt; 28 jours</t>
  </si>
  <si>
    <t xml:space="preserve">AGO-OVAR 2.21 (Pfisterer 2020)</t>
  </si>
  <si>
    <t xml:space="preserve">Carboplatine AUC 5 + Doxorubicine liposomale 30 mg/m² J1 / 28 j × 6</t>
  </si>
  <si>
    <t xml:space="preserve">Carboplatine : créatinine du jour obligatoire (Calvert, clairance plafonnée à 125 ml/min)
Anthracycline : FEVG ≥ 50 % ; cumul doxorubicine ≤ 450 mg/m² (épirubicine ≤ 900)</t>
  </si>
  <si>
    <t xml:space="preserve">CALYPSO</t>
  </si>
  <si>
    <t xml:space="preserve">Doxorubicine liposomale 40 + Bévacizumab 10 mg/kg J1-J15 / 28 j</t>
  </si>
  <si>
    <t xml:space="preserve">Anthracycline : FEVG ≥ 50 % ; cumul doxorubicine ≤ 450 mg/m² (épirubicine ≤ 900)
Anti-VEGF : TA &lt; 160/100 ; protéinurie &lt; 2 g/24 h (bandelette &lt; 2+) ; pas de chirurgie &lt; 28 jours</t>
  </si>
  <si>
    <t xml:space="preserve">AURELIA</t>
  </si>
  <si>
    <t xml:space="preserve">Doxorubicine liposomale pégylée 40 mg/m² J1 / 28 j</t>
  </si>
  <si>
    <t xml:space="preserve">• SUPPRIMER : Ligne « SOLUMEDROL » : risque émétique faible, un seul antiémétique suffit (MASCC/ESMO 2023) ; garder l'ONSET (ou l'inverse si tu préfères, mais un seul des deux)
• INDICATION à ajouter : Sein &gt; Sein &gt; Métastatique &gt; RH+ / HER2− – chimiothérapie</t>
  </si>
  <si>
    <t xml:space="preserve">Anthracycline : FEVG ≥ 50 % ; cumul doxorubicine ≤ 450 mg/m² (épirubicine ≤ 900)</t>
  </si>
  <si>
    <t xml:space="preserve">Schéma usuel (Gordon 2001 : 50 mg/m² ; 40 mg/m² courant)</t>
  </si>
  <si>
    <t xml:space="preserve">Gemcitabine 1000 mg/m² J1-J8-J15 / 28 j</t>
  </si>
  <si>
    <t xml:space="preserve">CONKO-001 (pancréas adjuvant) ; ovaire : schéma usuel</t>
  </si>
  <si>
    <t xml:space="preserve">Digestif › Pancréas › Adjuvant
Digestif › Pancréas › Localement avancé
Digestif › Pancréas › Métastatique
Digestif › Voies biliaires / vésicule › Avancé / métastatique
Poumon / thorax › CBNPC › Métastatique › 2e ligne
Urologie › Vessie / urothélium › Avancé / métastatique
Sein › Sein › Métastatique › RH+ / HER2− – chimiothérapie
Sarcomes › Tissus mous › Avancé / métastatique / récidive</t>
  </si>
  <si>
    <t xml:space="preserve">N077</t>
  </si>
  <si>
    <t xml:space="preserve">Mirvétuximab soravtansine 6 mg/kg (poids idéal ajusté) / 21 j (FRα élevé)</t>
  </si>
  <si>
    <t xml:space="preserve">• Manque dans la bibliothèque (référence : MIRASOL)</t>
  </si>
  <si>
    <t xml:space="preserve">Rythme : J1, tous les 21 jours
1. Larmes artificielles — au moins 4 fois/j pendant tout le traitement (unité : texte libre) — Jours 1 — Oculaire
2. SOLUMEDROL (méthylprednisolone) inj. — 60 mg (dose fixe) — Jours 1 — 30 min avant la chimiothérapie — IV — NaCl 0,9 % 50 ml — 15 min
3. POLARAMINE (dexchlorphéniramine) 5 mg/1 ml inj. — 5 mg (dose fixe) — Jours 1 — 30 min avant la perfusion — IV lente
4. PARACÉTAMOL 1 g cp — 1000 mg (dose fixe) — Jours 1 — 30 min avant la perfusion — Per os
5. ONSET (ondansétron) 8 mg/4 ml inj. — 8 mg (dose fixe) — Jours 1 — 30 min avant la chimiothérapie — IV — NaCl 0,9 % 50 ml — 15 min
6. ELAHERE (mirvétuximab soravtansine) — 6 mg/kg — Jours 1 — poids idéal ajusté — IV — G5 % — 1 mg/min puis 3 mg/min
Remarques :
- Examen ophtalmologique avant le C1 puis tous les 2 cycles
Pas dans le protocole (ordonnance de sortie) : SOLUPRED</t>
  </si>
  <si>
    <t xml:space="preserve">Chimio – Prémédication docétaxel (à prendre à domicile) (pour le SOLUPRED)</t>
  </si>
  <si>
    <t xml:space="preserve">MIRASOL</t>
  </si>
  <si>
    <t xml:space="preserve">Paclitaxel 175 + Carboplatine AUC 5 + Bévacizumab 15 mg/kg J1-J21 × 6</t>
  </si>
  <si>
    <t xml:space="preserve">Carboplatine : créatinine du jour obligatoire (Calvert, clairance plafonnée à 125 ml/min)
Paclitaxel : bilirubine ≤ 1,5 × N ; neuropathie de grade ≥ 2 → réduire
Anti-VEGF : TA &lt; 160/100 ; protéinurie &lt; 2 g/24 h (bandelette &lt; 2+) ; pas de chirurgie &lt; 28 jours</t>
  </si>
  <si>
    <t xml:space="preserve">GOG-218 / ICON7 (ovaire) ; col : GOG-240 (avec cisplatine), JCOG0505 (carboplatine)</t>
  </si>
  <si>
    <t xml:space="preserve">Gynécologie › Col de l'utérus › Récidivant / métastatique
Gynécologie › Ovaire / trompe / péritoine › Néoadjuvant / adjuvant</t>
  </si>
  <si>
    <t xml:space="preserve">N023</t>
  </si>
  <si>
    <t xml:space="preserve">Paclitaxel 80 hebdomadaire + Bévacizumab 10 mg/kg / 14 j (platine-résistant)</t>
  </si>
  <si>
    <t xml:space="preserve">• Manque dans la bibliothèque (référence : AURELIA)</t>
  </si>
  <si>
    <t xml:space="preserve">Rythme : Paclitaxel J1, J8, J15, J22 ; bévacizumab J1 et J15 – tous les 28 jours
1. POLARAMINE (dexchlorphéniramine) 5 mg/1 ml inj. — 5 mg (dose fixe) — Jours 1,8,15,22 — 30 min avant la perfusion — IV lente
2. SOLUMEDROL (méthylprednisolone) inj. — 80 mg (dose fixe) — Jours 1,8,15,22 — 30 min avant la chimiothérapie — IV — NaCl 0,9 % 50 ml — 15 min
3. ONSET (ondansétron) 8 mg/4 ml inj. — 8 mg (dose fixe) — Jours 1,8,15,22 — 30 min avant la chimiothérapie — IV — NaCl 0,9 % 50 ml — 15 min
4. YPEVA (bévacizumab) — 10 mg/kg — Jours 1,15 — IV — NaCl 0,9 % 100 ml — 30-90 min
5. PACLITAXEL — 80 mg/m² — Jours 1,8,15,22 — IV — NaCl 0,9 % 250 ml, filtre 0,22 µm — 1 h</t>
  </si>
  <si>
    <t xml:space="preserve">Séances hebdomadaires (J8, J15…) : PNN ≥ 1,0 G/L et plaquettes ≥ 75 G/L
Paclitaxel : bilirubine ≤ 1,5 × N ; neuropathie de grade ≥ 2 → réduire
Anti-VEGF : TA &lt; 160/100 ; protéinurie &lt; 2 g/24 h (bandelette &lt; 2+) ; pas de chirurgie &lt; 28 jours</t>
  </si>
  <si>
    <t xml:space="preserve">Topotécan 1,5 mg/m² J1-J3 / 21 j (modifié)</t>
  </si>
  <si>
    <t xml:space="preserve">• SUPPRIMER : Ligne « SOLUMEDROL » : risque émétique faible, un seul antiémétique suffit (MASCC/ESMO 2023) ; garder l'ONSET (ou l'inverse si tu préfères, mais un seul des deux)
• REMARQUE à remplacer : « Schéma modifié (eviQ) pour patientes très prétraitées » → « Schéma modifié pour patientes très prétraitées »</t>
  </si>
  <si>
    <t xml:space="preserve">Topotécan : PNN ≥ 1,5, plaquettes ≥ 100, Hb ≥ 9 g/dL</t>
  </si>
  <si>
    <t xml:space="preserve">Variante réduite (pas d'essai de phase III)</t>
  </si>
  <si>
    <t xml:space="preserve">Topotécan 4 mg/m² J1-J8-J15 / 28 j (hebdomadaire)</t>
  </si>
  <si>
    <t xml:space="preserve">Séances hebdomadaires (J8, J15…) : PNN ≥ 1,0 G/L et plaquettes ≥ 75 G/L
Topotécan : PNN ≥ 1,5, plaquettes ≥ 100, Hb ≥ 9 g/dL</t>
  </si>
  <si>
    <t xml:space="preserve">TOWER (Sehouli 2011)</t>
  </si>
  <si>
    <t xml:space="preserve">N078</t>
  </si>
  <si>
    <t xml:space="preserve">Trabectédine 1,1 mg/m² + Doxorubicine liposomale 30 mg/m² / 21 j</t>
  </si>
  <si>
    <t xml:space="preserve">• Manque dans la bibliothèque (référence : OVA-301)</t>
  </si>
  <si>
    <t xml:space="preserve">Rythme : J1, tous les 21 jours
1. ONSET (ondansétron) 8 mg/4 ml inj. — 8 mg (dose fixe) — Jours 1 — 30 min avant la chimiothérapie — IV — NaCl 0,9 % 50 ml — 15 min
2. SOLUMEDROL (méthylprednisolone) inj. — 100 mg (dose fixe) — Jours 1 — 30 min avant (obligatoire avec la trabectédine) — IV — NaCl 0,9 % 50 ml — 15 min
3. DOXORUBICINE LIPOSOMALE PÉGYLÉE (Caelyx) — 30 mg/m² — Jours 1 — IV — G5 % 250 ml — 90 min
4. YONDELIS (trabectédine) — 1,1 mg/m² — Jours 1 — IV (voie centrale) — NaCl 0,9 % 500 ml — 3 h
Remarques :
- Platine-sensible</t>
  </si>
  <si>
    <t xml:space="preserve">Anthracycline : FEVG ≥ 50 % ; cumul doxorubicine ≤ 450 mg/m² (épirubicine ≤ 900)
Trabectédine : PNN ≥ 1,5, plaquettes ≥ 100, bilirubine ≤ N, PAL ≤ 2,5 × N, ASAT/ALAT ≤ 2,5 × N, CPK ≤ 2,5 × N</t>
  </si>
  <si>
    <t xml:space="preserve">OVA-301</t>
  </si>
  <si>
    <t xml:space="preserve">N025</t>
  </si>
  <si>
    <t xml:space="preserve">Tumeurs trophoblastiques</t>
  </si>
  <si>
    <t xml:space="preserve">Bas risque</t>
  </si>
  <si>
    <t xml:space="preserve">Actinomycine D 1,25 mg/m² / 14 j</t>
  </si>
  <si>
    <t xml:space="preserve">• Manque dans la bibliothèque (référence : GOG 174)
• Créer d'abord la branche : Gynécologie &gt; Tumeurs trophoblastiques &gt; Bas risque</t>
  </si>
  <si>
    <t xml:space="preserve">Rythme : J1, tous les 14 jours
1. ONSET (ondansétron) 8 mg/4 ml inj. — 8 mg (dose fixe) — Jours 1 — 30 min avant la chimiothérapie — IV — NaCl 0,9 % 50 ml — 15 min
2. ACTINOMYCINE D (Cosmegen) — 1,25 mg/m² — Jours 1 — IV — NaCl 0,9 % 50 ml — 15 min — max 2 mg
Remarques :
- Vésicant</t>
  </si>
  <si>
    <t xml:space="preserve">GOG 174</t>
  </si>
  <si>
    <t xml:space="preserve">N024</t>
  </si>
  <si>
    <t xml:space="preserve">Méthotrexate 50 mg IM J1-J3-J5-J7 + Acide folinique 15 mg J2-J4-J6-J8 / 14 j</t>
  </si>
  <si>
    <t xml:space="preserve">• Manque dans la bibliothèque (référence : Schéma de Charing Cross ; ESMO 2021)
• Créer d'abord la branche : Gynécologie &gt; Tumeurs trophoblastiques &gt; Bas risque</t>
  </si>
  <si>
    <t xml:space="preserve">Rythme : Méthotrexate J1, J3, J5, J7 ; acide folinique J2, J4, J6, J8 – tous les 14 jours
1. MÉTHOTREXATE — 50 mg (dose fixe) — Jours 1,3,5,7 — IM
2. ACIDE FOLINIQUE (folinate de calcium) 15 mg — 15 mg (dose fixe) — Jours 2,4,6,8 — 30 h après chaque méthotrexate — Per os
Remarques :
- hCG chaque semaine ; poursuivre 3 cycles après normalisation</t>
  </si>
  <si>
    <t xml:space="preserve">Séances hebdomadaires (J8, J15…) : PNN ≥ 1,0 G/L et plaquettes ≥ 75 G/L
Méthotrexate : DFG ≥ 60 ml/min ; pas d'épanchement (3e secteur)</t>
  </si>
  <si>
    <t xml:space="preserve">Schéma de Charing Cross ; ESMO 2021</t>
  </si>
  <si>
    <t xml:space="preserve">N026</t>
  </si>
  <si>
    <t xml:space="preserve">Méthotrexate 50 mg/m² IM hebdomadaire</t>
  </si>
  <si>
    <t xml:space="preserve">Rythme : 1 injection par semaine
1. MÉTHOTREXATE — 50 mg/m² — Jours 1 — IM
Remarques :
- hCG chaque semaine</t>
  </si>
  <si>
    <t xml:space="preserve">Méthotrexate : DFG ≥ 60 ml/min ; pas d'épanchement (3e secteur)</t>
  </si>
  <si>
    <t xml:space="preserve">N027</t>
  </si>
  <si>
    <t xml:space="preserve">Haut risque</t>
  </si>
  <si>
    <t xml:space="preserve">EMA-CO / 14 j</t>
  </si>
  <si>
    <t xml:space="preserve">• Manque dans la bibliothèque (référence : Bower 1997)
• Créer d'abord la branche : Gynécologie &gt; Tumeurs trophoblastiques &gt; Haut risque</t>
  </si>
  <si>
    <t xml:space="preserve">Rythme : J1-J2 : EMA ; J8 : CO – tous les 14 jours
1. ONSET (ondansétron) 8 mg/4 ml inj. — 8 mg (dose fixe) — Jours 1,2,8 — 30 min avant la chimiothérapie — IV — NaCl 0,9 % 50 ml — 15 min
2. SOLUMEDROL (méthylprednisolone) inj. — 60 mg (dose fixe) — Jours 1,2,8 — 30 min avant la chimiothérapie — IV — NaCl 0,9 % 50 ml — 15 min
3. ÉTOPOSIDE (VP16 – Vépéside) — 100 mg/m² — Jours 1,2 — IV — NaCl 0,9 % 500 ml — 30 min
4. MÉTHOTREXATE bolus — 100 mg/m² — Jours 1 — IV bolus
5. MÉTHOTREXATE — 200 mg/m² — Jours 1 — IV — NaCl 0,9 % 1000 ml — 12 h
6. ACTINOMYCINE D (Cosmegen) — 0,5 mg (dose fixe) — Jours 1,2 — IV — bolus
7. ACIDE FOLINIQUE 15 mg — 15 mg toutes les 12 h × 4, à partir de 24 h après le début du méthotrexate (unité : texte libre) — Jours 2 — IM ou per os
8. CYCLOPHOSPHAMIDE (Endoxan) — 600 mg/m² — Jours 8 — IV — NaCl 0,9 % 250 ml — 30 min
9. VINCRISTINE — 1 mg/m² — Jours 8 — IV — bolus — max 2 mg
Remarques :
- hCG chaque semaine</t>
  </si>
  <si>
    <t xml:space="preserve">Bower 1997</t>
  </si>
  <si>
    <t xml:space="preserve">Vulve</t>
  </si>
  <si>
    <t xml:space="preserve">Cisplatine 75 + 5-FU 1000 J1-J4 / 21 j (vulve)</t>
  </si>
  <si>
    <t xml:space="preserve">Pas de phase III (extrapolé du col) ; GOG 205 pour la radiochimiothérapie</t>
  </si>
  <si>
    <t xml:space="preserve">N079</t>
  </si>
  <si>
    <t xml:space="preserve">Hématologie</t>
  </si>
  <si>
    <t xml:space="preserve">Lymphome B diffus à grandes cellules</t>
  </si>
  <si>
    <t xml:space="preserve">Première ligne</t>
  </si>
  <si>
    <t xml:space="preserve">R-CHOP 21</t>
  </si>
  <si>
    <t xml:space="preserve">• Manque dans la bibliothèque (référence : LNH-98.5 (Coiffier 2002))
• Créer d'abord la branche : Hématologie &gt; Lymphome B diffus à grandes cellules &gt; Première ligne</t>
  </si>
  <si>
    <t xml:space="preserve">Rythme : J1, tous les 21 jours × 6 ; prednisone J1 à J5
1. ONSET (ondansétron) 8 mg/4 ml inj. — 8 mg (dose fixe) — Jours 1 — 30 min avant la chimiothérapie — IV — NaCl 0,9 % 50 ml — 15 min
2. PARACÉTAMOL 1 g cp — 1000 mg (dose fixe) — Jours 1 — 30 min avant la perfusion — Per os
3. POLARAMINE (dexchlorphéniramine) 5 mg/1 ml inj. — 5 mg (dose fixe) — Jours 1 — avant le rituximab — IV lente
4. RITUXIMAB (MabThera / biosimilaire) — 375 mg/m² — Jours 1 — IV — NaCl 0,9 % 500 ml — débit progressif (C1)
5. CYCLOPHOSPHAMIDE (Endoxan) — 750 mg/m² — Jours 1 — IV — NaCl 0,9 % 250 ml — 30 min
6. DOXORUBICINE — 50 mg/m² — Jours 1 — IV — NaCl 0,9 % 100 ml — 15 min
7. VINCRISTINE — 1,4 mg/m² — Jours 1 — IV — 10 min — max 2 mg
8. PREDNISONE — 100 mg (dose fixe) — Jours 1 (libellé « J1 → J5 ») — 1 prise le matin — Per os — 5 jours
Remarques :
- La prednisone de J1 sert de corticoïde antiémétique
- Sérologie VHB : prophylaxie antivirale si AgHBs+ ou anti-HBc+
- Prévention de la lyse au C1
Pas dans le protocole (ordonnance de sortie) : EMEND, OLANZAPINE</t>
  </si>
  <si>
    <t xml:space="preserve">Chimio – Sortie : AC (anthracycline + cyclophosphamide)</t>
  </si>
  <si>
    <t xml:space="preserve">LNH-98.5 (Coiffier 2002)</t>
  </si>
  <si>
    <t xml:space="preserve">N080</t>
  </si>
  <si>
    <t xml:space="preserve">Lymphome de Hodgkin</t>
  </si>
  <si>
    <t xml:space="preserve">ABVD / 28 j (J1 et J15)</t>
  </si>
  <si>
    <t xml:space="preserve">• Manque dans la bibliothèque (référence : Bonadonna ; ECHELON-1 (bras ABVD))
• Créer d'abord la branche : Hématologie &gt; Lymphome de Hodgkin &gt; Première ligne</t>
  </si>
  <si>
    <t xml:space="preserve">Rythme : J1 et J15, tous les 28 jours
1. ONSET (ondansétron) 8 mg/4 ml inj. — 8 mg (dose fixe) — Jours 1,15 — 30 min avant la chimiothérapie — IV — NaCl 0,9 % 50 ml — 15 min
2. SOLUMEDROL (méthylprednisolone) inj. — 60 mg (dose fixe) — Jours 1,15 — 30 min avant la chimiothérapie — IV — NaCl 0,9 % 50 ml — 15 min
3. DOXORUBICINE (adriamycine) — 25 mg/m² — Jours 1,15 — IV — 15 min
4. BLÉOMYCINE — 10 mg/m² — Jours 1,15 — 10 000 UI/m² (1 mg = 1000 UI) — IV — 15 min
5. VINBLASTINE — 6 mg/m² — Jours 1,15 — IV — bolus — max 10 mg
6. DACARBAZINE — 375 mg/m² — Jours 1,15 — IV — G5 % 250 ml, à l'abri de la lumière — 30 min
Remarques :
- DLCO initiale (bléomycine)
Pas dans le protocole (ordonnance de sortie) : EMEND, SOLUPRED, OLANZAPINE</t>
  </si>
  <si>
    <t xml:space="preserve">Anthracycline : FEVG ≥ 50 % ; cumul doxorubicine ≤ 450 mg/m² (épirubicine ≤ 900)
Bléomycine : DLCO initiale ; DFG ; cumul ≤ 400 000 UI</t>
  </si>
  <si>
    <t xml:space="preserve">Bonadonna ; ECHELON-1 (bras ABVD)</t>
  </si>
  <si>
    <t xml:space="preserve">Mélanome</t>
  </si>
  <si>
    <t xml:space="preserve">Nivolumab 480 mg / 28 j</t>
  </si>
  <si>
    <t xml:space="preserve">• Indiqué seulement mélanome → Ajouter poumon 2e ligne (CheckMate 017/057), rein 2e ligne (CheckMate 025), ORL 2e ligne (CheckMate 141), œsophage épidermoïde 2e ligne (ATTRACTION-3)
• Regroupe les doublons : [117]</t>
  </si>
  <si>
    <t xml:space="preserve">• INDICATION à ajouter : Poumon / thorax &gt; CBNPC &gt; Métastatique &gt; 2e ligne
• INDICATION à ajouter : Rein &gt; Rein &gt; Métastatique
• INDICATION à ajouter : Tête et cou &gt; VADS &gt; Récidivant / métastatique
• INDICATION à ajouter : Digestif &gt; Œsophage – épidermoïde &gt; Métastatique
• INDICATION à ajouter : Digestif &gt; Carcinome hépatocellulaire &gt; Avancé / métastatique (après CheckMate 9DW)
• INDICATION à ajouter : Poumon / thorax &gt; CBNPC &gt; Résécable – adjuvant (CheckMate 77T)
• INDICATION à ajouter : Digestif › Œsophage / jonction – adénocarcinome › Adjuvant (vient de [117])
• INDICATION à ajouter : Digestif › Œsophage – épidermoïde › Adjuvant (vient de [117])
• INDICATION à ajouter : Urologie › Vessie / urothélium › Adjuvant (vient de [117])
• À FAIRE : reprendre ici les remarques utiles de [117], puis supprimer [117]
• REMARQUE à ajouter : Adjuvant œsophage et vessie : 1 an au maximum (CheckMate 577, CheckMate 274)</t>
  </si>
  <si>
    <t xml:space="preserve">Immunothérapie : TSH, transaminases, créatinine, glycémie avant chaque cure ; toxicité de grade ≥ 2 → suspendre</t>
  </si>
  <si>
    <t xml:space="preserve">CheckMate 238 (adjuvant) ; CheckMate 066/067</t>
  </si>
  <si>
    <t xml:space="preserve">Mélanome › Mélanome › Métastatique</t>
  </si>
  <si>
    <t xml:space="preserve">N083</t>
  </si>
  <si>
    <t xml:space="preserve">Dacarbazine 1000 mg/m² / 21 j</t>
  </si>
  <si>
    <t xml:space="preserve">• Manque dans la bibliothèque (référence : Schéma usuel)</t>
  </si>
  <si>
    <t xml:space="preserve">Rythme : J1, tous les 21 jours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DACARBAZINE — 1000 mg/m² — Jours 1 — IV — G5 % 250 ml, à l'abri de la lumière — 30 min
Pas dans le protocole (ordonnance de sortie) : EMEND, SOLUPRED, OLANZAPINE</t>
  </si>
  <si>
    <t xml:space="preserve">Encorafénib 450 mg/j + Binimétinib 45 mg × 2/j</t>
  </si>
  <si>
    <t xml:space="preserve">COLUMBUS</t>
  </si>
  <si>
    <t xml:space="preserve">N082</t>
  </si>
  <si>
    <t xml:space="preserve">Ipilimumab 3 mg/kg / 21 j × 4</t>
  </si>
  <si>
    <t xml:space="preserve">• Manque dans la bibliothèque (référence : Hodi 2010)</t>
  </si>
  <si>
    <t xml:space="preserve">Rythme : J1, tous les 21 jours × 4
1. YERVOY (ipilimumab) — 3 mg/kg — Jours 1 — IV — NaCl 0,9 % 100 ml — 30 min</t>
  </si>
  <si>
    <t xml:space="preserve">Ipilimumab : transaminases, TSH, cortisol ; colite de grade ≥ 2 → arrêt</t>
  </si>
  <si>
    <t xml:space="preserve">Hodi 2010</t>
  </si>
  <si>
    <t xml:space="preserve">Nivolumab 1 mg/kg + Ipilimumab 3 mg/kg / 21 j × 4 (CheckMate 067)</t>
  </si>
  <si>
    <t xml:space="preserve">CheckMate 067</t>
  </si>
  <si>
    <t xml:space="preserve">N081</t>
  </si>
  <si>
    <t xml:space="preserve">Nivolumab 480 + Relatlimab 160 / 28 j (Opdualag)</t>
  </si>
  <si>
    <t xml:space="preserve">• Manque dans la bibliothèque (référence : RELATIVITY-047)</t>
  </si>
  <si>
    <t xml:space="preserve">Rythme : J1, toutes les 4 semaines
1. OPDUALAG (nivolumab 480 mg + relatlimab 160 mg) — 480 mg (dose fixe) — Jours 1 — dose = nivolumab — IV — NaCl 0,9 % 100 ml — 30 min</t>
  </si>
  <si>
    <t xml:space="preserve">RELATIVITY-047</t>
  </si>
  <si>
    <t xml:space="preserve">Neurologie</t>
  </si>
  <si>
    <t xml:space="preserve">Gliomes</t>
  </si>
  <si>
    <t xml:space="preserve">Glioblastome nouvellement diagnostiqué</t>
  </si>
  <si>
    <t xml:space="preserve">Témozolomide 75 mg/m²/j + Radiothérapie (Stupp)</t>
  </si>
  <si>
    <t xml:space="preserve">Stupp (EORTC-NCIC 2005)</t>
  </si>
  <si>
    <t xml:space="preserve">Témozolomide adjuvant 150 puis 200 mg/m² J1-J5 / 28 j × 6</t>
  </si>
  <si>
    <t xml:space="preserve">Stupp (phase adjuvante) ; CATNON (astrocytome)</t>
  </si>
  <si>
    <t xml:space="preserve">Neurologie › Gliomes › Astrocytome</t>
  </si>
  <si>
    <t xml:space="preserve">Glioblastome récidivant</t>
  </si>
  <si>
    <t xml:space="preserve">Bévacizumab 10 mg/kg J1-J15 / 28 j (glioblastome)</t>
  </si>
  <si>
    <t xml:space="preserve">BRAIN (Friedman 2009) ; BELOB</t>
  </si>
  <si>
    <t xml:space="preserve">Lomustine 110 mg/m² / 42 j</t>
  </si>
  <si>
    <t xml:space="preserve">EORTC 26101 (bras contrôle)</t>
  </si>
  <si>
    <t xml:space="preserve">Lomustine 90 mg/m² / 42 j + Bévacizumab 10 mg/kg / 14 j</t>
  </si>
  <si>
    <t xml:space="preserve">• EORTC 26101 : l'association n'améliore pas la survie → Le noter dans le protocole
• Médicament pris à domicile écrit dans le protocole → ordonnance de sortie</t>
  </si>
  <si>
    <t xml:space="preserve">• SUPPRIMER du protocole : ligne « ONSET (ondansétron) » (J1) : elle passe sur l'ordonnance « Chimio – Antiémétique avant une chimiothérapie orale »
• REMARQUE à ajouter : EORTC 26101 : l'association ne prolonge pas la survie globale par rapport à la lomustine seule (glioblastome en récidive) ; à discuter en RCP</t>
  </si>
  <si>
    <t xml:space="preserve">Chimio – Antiémétique avant une chimiothérapie orale</t>
  </si>
  <si>
    <t xml:space="preserve">EORTC 26101 (Wick 2017, pas de bénéfice de survie)</t>
  </si>
  <si>
    <t xml:space="preserve">Gliome de bas grade</t>
  </si>
  <si>
    <t xml:space="preserve">PCV : Lomustine + Procarbazine + Vincristine / 42 j</t>
  </si>
  <si>
    <t xml:space="preserve">• Médicament pris à domicile écrit dans le protocole → ordonnance de sortie</t>
  </si>
  <si>
    <t xml:space="preserve">• SUPPRIMER du protocole : ligne « ONSET (ondansétron) » (J1) : elle passe sur l'ordonnance « Chimio – Antiémétique avant une chimiothérapie orale »</t>
  </si>
  <si>
    <t xml:space="preserve">Séances hebdomadaires (J8, J15…) : PNN ≥ 1,0 G/L et plaquettes ≥ 75 G/L</t>
  </si>
  <si>
    <t xml:space="preserve">RTOG 9802 ; RTOG 9402 ; EORTC 26951</t>
  </si>
  <si>
    <t xml:space="preserve">Neurologie › Gliomes › Oligodendrogliome</t>
  </si>
  <si>
    <t xml:space="preserve">N084</t>
  </si>
  <si>
    <t xml:space="preserve">Vorasidénib 40 mg/j (gliome IDH muté)</t>
  </si>
  <si>
    <t xml:space="preserve">• Manque dans la bibliothèque (référence : INDIGO)</t>
  </si>
  <si>
    <t xml:space="preserve">Rythme : 1 prise par jour à jeun
1. VORANIGO (vorasidénib) 40 mg cp — 40 mg (dose fixe) — Jours 1 (libellé « J1 → J28 (continu) ») — 1 h avant ou 2 h après un repas — Per os — 28 jours
Remarques :
- Bilan hépatique toutes les 2 semaines les 2 premiers mois</t>
  </si>
  <si>
    <t xml:space="preserve">INDIGO</t>
  </si>
  <si>
    <t xml:space="preserve">Gliome de haut grade récidivant</t>
  </si>
  <si>
    <t xml:space="preserve">Témozolomide 200 mg/m² J1-J5 / 28 j (récidive)</t>
  </si>
  <si>
    <t xml:space="preserve">Yung 2000</t>
  </si>
  <si>
    <t xml:space="preserve">N029</t>
  </si>
  <si>
    <t xml:space="preserve">Peau</t>
  </si>
  <si>
    <t xml:space="preserve">Carcinome basocellulaire</t>
  </si>
  <si>
    <t xml:space="preserve">Sonidégib 200 mg/j</t>
  </si>
  <si>
    <t xml:space="preserve">• Manque dans la bibliothèque (référence : BOLT)
• Créer d'abord la branche : Peau &gt; Carcinome basocellulaire &gt; Avancé / métastatique</t>
  </si>
  <si>
    <t xml:space="preserve">Rythme : En continu, à jeun
1. ODOMZO (sonidégib) 200 mg gél. — 200 mg (dose fixe) — Jours 1 (libellé « J1 → J28 (continu) ») — 2 h après ou 1 h avant un repas — Per os — 28 jours
Remarques :
- CPK, contraception</t>
  </si>
  <si>
    <t xml:space="preserve">BOLT</t>
  </si>
  <si>
    <t xml:space="preserve">N028</t>
  </si>
  <si>
    <t xml:space="preserve">Vismodégib 150 mg/j</t>
  </si>
  <si>
    <t xml:space="preserve">• Manque dans la bibliothèque (référence : ERIVANCE)
• Créer d'abord la branche : Peau &gt; Carcinome basocellulaire &gt; Avancé / métastatique</t>
  </si>
  <si>
    <t xml:space="preserve">Rythme : En continu
1. ERIVEDGE (vismodégib) 150 mg gél. — 150 mg (dose fixe) — Jours 1 (libellé « J1 → J28 (continu) ») — Per os — 28 jours
Remarques :
- Contraception (tératogène), crampes, dysgueusie</t>
  </si>
  <si>
    <t xml:space="preserve">ERIVANCE</t>
  </si>
  <si>
    <t xml:space="preserve">N030</t>
  </si>
  <si>
    <t xml:space="preserve">Carcinome de Merkel</t>
  </si>
  <si>
    <t xml:space="preserve">Avélumab 800 mg / 14 j (Merkel)</t>
  </si>
  <si>
    <t xml:space="preserve">• Manque dans la bibliothèque (référence : JAVELIN Merkel 200)
• Créer d'abord la branche : Peau &gt; Carcinome de Merkel &gt; Métastatique</t>
  </si>
  <si>
    <t xml:space="preserve">Rythme : J1 et J15, tous les 28 jours
1. POLARAMINE (dexchlorphéniramine) 5 mg/1 ml inj. — 5 mg (dose fixe) — Jours 1,15 — avant l'avélumab (4 premières perfusions au moins) — IV lente
2. PARACÉTAMOL 1 g cp — 1000 mg (dose fixe) — Jours 1,15 — 30 min avant la perfusion — Per os
3. BAVENCIO (avélumab) — 800 mg (dose fixe) — Jours 1,15 — IV — NaCl 0,9 % 250 ml — 60 min</t>
  </si>
  <si>
    <t xml:space="preserve">JAVELIN Merkel 200</t>
  </si>
  <si>
    <t xml:space="preserve">N031</t>
  </si>
  <si>
    <t xml:space="preserve">Carcinome épidermoïde cutané</t>
  </si>
  <si>
    <t xml:space="preserve">Cémiplimab 350 mg / 21 j (carcinome épidermoïde cutané)</t>
  </si>
  <si>
    <t xml:space="preserve">• Manque dans la bibliothèque (référence : EMPOWER-CSCC-1)
• Créer d'abord la branche : Peau &gt; Carcinome épidermoïde cutané &gt; Avancé / métastatique</t>
  </si>
  <si>
    <t xml:space="preserve">Rythme : J1, tous les 21 jours
1. LIBTAYO (cémiplimab) — 350 mg (dose fixe) — Jours 1 — IV — NaCl 0,9 % 100 ml — 30 min</t>
  </si>
  <si>
    <t xml:space="preserve">EMPOWER-CSCC-1</t>
  </si>
  <si>
    <t xml:space="preserve">Poumon / thorax</t>
  </si>
  <si>
    <t xml:space="preserve">CBNPC</t>
  </si>
  <si>
    <t xml:space="preserve">Localement avancé – consolidation</t>
  </si>
  <si>
    <t xml:space="preserve">Durvalumab 10 mg/kg q2s (J1-J15 / 28 j)</t>
  </si>
  <si>
    <t xml:space="preserve">• REMARQUE à remplacer : « Conforme aux doses eviQ » → « Doses conformes à : PACIFIC (10 mg/kg toutes les 2 semaines) »</t>
  </si>
  <si>
    <t xml:space="preserve">PACIFIC (10 mg/kg toutes les 2 semaines)</t>
  </si>
  <si>
    <t xml:space="preserve">Durvalumab 1500 mg q4s</t>
  </si>
  <si>
    <t xml:space="preserve">• INDICATION à ajouter : Poumon / thorax &gt; CBPC &gt; Maladie limitée (consolidation après radiochimiothérapie, ADRIATIC)
• INDICATION à ajouter : Poumon / thorax &gt; CBNPC &gt; Résécable – adjuvant (après AEGEAN)
• REMARQUE à remplacer : « Conforme aux doses eviQ » → « Doses conformes à : PACIFIC (dose fixe 1500 mg) »</t>
  </si>
  <si>
    <t xml:space="preserve">PACIFIC (dose fixe 1500 mg) ; HIMALAYA (CHC, durvalumab seul)</t>
  </si>
  <si>
    <t xml:space="preserve">Digestif › Carcinome hépatocellulaire › Avancé / métastatique</t>
  </si>
  <si>
    <t xml:space="preserve">Localement avancé – radiochimiothérapie</t>
  </si>
  <si>
    <t xml:space="preserve">Carboplatine AUC 2 + Paclitaxel 45 hebdomadaire + Radiothérapie</t>
  </si>
  <si>
    <t xml:space="preserve">• AJOUTER la ligne : POLARAMINE (dexchlorphéniramine) 5 mg/1 ml inj. — 5 mg (dose fixe) — Jours 1,8,15,22,29,36 — 30 min avant la perfusion — IV lente
• REMARQUE à remplacer : « Référence eviQ ; puis consolidation par durvalumab si pas de progression » → « Référence : RTOG 0617 ; puis consolidation par durvalumab si pas de progression »</t>
  </si>
  <si>
    <t xml:space="preserve">RTOG 0617</t>
  </si>
  <si>
    <t xml:space="preserve">Carboplatine AUC 5 + Pémétrexed 500 / 21 j × 3 + Radiothérapie</t>
  </si>
  <si>
    <t xml:space="preserve">• Anti-NK1 absent (modéré haut – carboplatine auc ≥ 5) → ordonnance de sortie
• Pémétrexed : corticoïde seulement J1 (RCP : J-1, J1, J2) → ordonnance de sortie
• Pas un doublon de [22] : mêmes doses, mais [158] = 3 cures avec la radiothérapie, [22] = maladie métastatique. Garder les deux ; le nom doit dire le contexte</t>
  </si>
  <si>
    <t xml:space="preserve">• REMARQUE à ajouter : Pémétrexed : corticoïde la veille (J-1) matin et soir à domicile, sur l'ordonnance « Chimio – Prémédication pémétrexed (ALIMTA) »</t>
  </si>
  <si>
    <t xml:space="preserve">Carboplatine : créatinine du jour obligatoire (Calvert, clairance plafonnée à 125 ml/min)
Pémétrexed : DFG ≥ 45 ml/min</t>
  </si>
  <si>
    <t xml:space="preserve">Chimio – Sortie : carboplatine, Enhertu, Trodelvy
Chimio – Prémédication pémétrexed (ALIMTA)</t>
  </si>
  <si>
    <t xml:space="preserve">CALGB 30407 (Govindan 2011)</t>
  </si>
  <si>
    <t xml:space="preserve">Carboplatine hebdomadaire</t>
  </si>
  <si>
    <t xml:space="preserve">• Compléments : indications ou remarques</t>
  </si>
  <si>
    <t xml:space="preserve">• INDICATION à ajouter : Gynécologie &gt; Col de l'utérus &gt; Radiochimiothérapie (cisplatine contre-indiqué)</t>
  </si>
  <si>
    <t xml:space="preserve">Séances hebdomadaires (J8, J15…) : PNN ≥ 1,0 G/L et plaquettes ≥ 75 G/L
Carboplatine : créatinine du jour obligatoire (Calvert, clairance plafonnée à 125 ml/min)</t>
  </si>
  <si>
    <t xml:space="preserve">Schéma usuel (carboplatine hebdomadaire + RT si cisplatine contre-indiqué)</t>
  </si>
  <si>
    <t xml:space="preserve">Urologie › Vessie / urothélium › Radiochimiothérapie
Tête et cou › VADS › Localement avancé – radiochimiothérapie</t>
  </si>
  <si>
    <t xml:space="preserve">Cisplatine 20 + Vinorelbine 15 hebdomadaire + RT – fractionné (HGC)</t>
  </si>
  <si>
    <t xml:space="preserve">• Anti-NK1 absent (élevé – cisplatine hebdomadaire + rt) → ordonnance de sortie
• Cisplatine sans hydratation ni magnésium ni potassium</t>
  </si>
  <si>
    <t xml:space="preserve">• AJOUTER la ligne : HYDRATATION AVANT CISPLATINE : NaCl 0,9 % — 500 ml + KCl 1,5 g + MgSO4 2 g (unité : texte libre) — Jours 1,8,15,22,29,36 — en 1 h, avant le cisplatine — IV
• AJOUTER la ligne : HYDRATATION APRÈS CISPLATINE : NaCl 0,9 % — 500 ml (unité : texte libre) — Jours 1,8,15,22,29,36 — en 1 h, après le cisplatine ; diurèse ≥ 100 ml/h — IV</t>
  </si>
  <si>
    <t xml:space="preserve">Séances hebdomadaires (J8, J15…) : PNN ≥ 1,0 G/L et plaquettes ≥ 75 G/L
Cisplatine : DFG ≥ 60 ml/min (45-59 : réduire ou carboplatine) ; magnésémie et audition avant chaque cure
Vinorelbine : PNN ≥ 1,5 (J8 : ≥ 1,0)</t>
  </si>
  <si>
    <t xml:space="preserve">Variante locale (cisplatine + vinorelbine hebdomadaires + RT)</t>
  </si>
  <si>
    <t xml:space="preserve">Cisplatine 50 + Étoposide 50 + Radiothérapie (CBNPC)</t>
  </si>
  <si>
    <t xml:space="preserve">• Anti-NK1 et olanzapine absents (risque émétique élevé) → ordonnance de sortie
• Phase retardée non couverte : pas de corticoïde J2-J4 après le cisplatine (J1,8,29,36) → ordonnance de sortie
• Hydratation du cisplatine seulement en remarque (pas de lignes NaCl, KCl, MgSO4)
• Mention eviQ dans le nom ou les remarques</t>
  </si>
  <si>
    <t xml:space="preserve">• AJOUTER la ligne : HYDRATATION AVANT CISPLATINE : NaCl 0,9 % — 1000 ml + KCl 1,5 g + MgSO4 2 g (unité : texte libre) — Jours 1,8,29,36 — en 1 h, avant le cisplatine — IV
• AJOUTER la ligne : HYDRATATION APRÈS CISPLATINE : NaCl 0,9 % — 1000 ml (unité : texte libre) — Jours 1,8,29,36 — en 1 h, après le cisplatine ; diurèse ≥ 100 ml/h — IV
• REMARQUE à remplacer : « Référence eviQ (SWOG) » → « Référence : SWOG 9504 (Albain 2002) »</t>
  </si>
  <si>
    <t xml:space="preserve">Séances hebdomadaires (J8, J15…) : PNN ≥ 1,0 G/L et plaquettes ≥ 75 G/L
Cisplatine : DFG ≥ 60 ml/min (45-59 : réduire ou carboplatine) ; magnésémie et audition avant chaque cure</t>
  </si>
  <si>
    <t xml:space="preserve">SWOG 9504 (Albain 2002)</t>
  </si>
  <si>
    <t xml:space="preserve">Cisplatine 75 + Pémétrexed 500 / 21 j × 3 + Radiothérapie (PROCLAIM)</t>
  </si>
  <si>
    <t xml:space="preserve">• Anti-NK1 et olanzapine absents (risque émétique élevé) → ordonnance de sortie
• Phase retardée non couverte : pas de corticoïde J2-J4 après le cisplatine (J1) → ordonnance de sortie
• Pémétrexed : corticoïde seulement J1 (RCP : J-1, J1, J2) → ordonnance de sortie
• Hydratation du cisplatine seulement en remarque (pas de lignes NaCl, KCl, MgSO4)
• Pas un doublon de [297] : mêmes doses, mais [157] = 3 cures avec la radiothérapie (PROCLAIM), [297] = métastatique. Garder les deux ; le nom doit dire le contexte</t>
  </si>
  <si>
    <t xml:space="preserve">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ajouter : Pémétrexed : corticoïde la veille (J-1) matin et soir à domicile, sur l'ordonnance « Chimio – Prémédication pémétrexed (ALIMTA) »</t>
  </si>
  <si>
    <t xml:space="preserve">Cisplatine : DFG ≥ 60 ml/min (45-59 : réduire ou carboplatine) ; magnésémie et audition avant chaque cure
Pémétrexed : DFG ≥ 45 ml/min</t>
  </si>
  <si>
    <t xml:space="preserve">Chimio – Sortie : risque émétique élevé (cisplatine, dacarbazine)
Chimio – Prémédication pémétrexed (ALIMTA)</t>
  </si>
  <si>
    <t xml:space="preserve">PROCLAIM (Senan 2016)</t>
  </si>
  <si>
    <t xml:space="preserve">N032</t>
  </si>
  <si>
    <t xml:space="preserve">2e ligne</t>
  </si>
  <si>
    <t xml:space="preserve">Docétaxel 75 + Ramucirumab 10 mg/kg / 21 j</t>
  </si>
  <si>
    <t xml:space="preserve">• Manque dans la bibliothèque (référence : REVEL)</t>
  </si>
  <si>
    <t xml:space="preserve">Rythme : J1, tous les 21 jours
1. ONSET (ondansétron) 8 mg/4 ml inj. — 8 mg (dose fixe) — Jours 1 — 30 min avant la chimiothérapie — IV — NaCl 0,9 % 50 ml — 15 min
2. CYRAMZA (ramucirumab) — 10 mg/kg — Jours 1 — IV — NaCl 0,9 % 250 ml — 60 min
3. POLARAMINE (dexchlorphéniramine) 5 mg/1 ml inj. — 5 mg (dose fixe) — Jours 1 — avant le ramucirumab — IV lente
4. DOCÉTAXEL — 75 mg/m² — Jours 1 — IV — NaCl 0,9 % 250 ml — 1 h
Remarques :
- G-CSF selon le risque
Pas dans le protocole (ordonnance de sortie) : SOLUPRED</t>
  </si>
  <si>
    <t xml:space="preserve">Docétaxel : bilirubine ≤ normale ; ne pas faire si ASAT/ALAT &gt; 1,5 × N avec PAL &gt; 2,5 × N
Anti-VEGF : TA &lt; 160/100 ; protéinurie &lt; 2 g/24 h</t>
  </si>
  <si>
    <t xml:space="preserve">Chimio – Prémédication docétaxel (à prendre à domicile)</t>
  </si>
  <si>
    <t xml:space="preserve">REVEL</t>
  </si>
  <si>
    <t xml:space="preserve">N085</t>
  </si>
  <si>
    <t xml:space="preserve">Docétaxel 75 J1 + Nintédanib 200 mg × 2/j J2-J21 / 21 j (adénocarcinome)</t>
  </si>
  <si>
    <t xml:space="preserve">• Manque dans la bibliothèque (référence : LUME-Lung 1)</t>
  </si>
  <si>
    <t xml:space="preserve">Rythme : Docétaxel J1 ; nintédanib J2 à J21
1. ONSET (ondansétron) 8 mg/4 ml inj. — 8 mg (dose fixe) — Jours 1 — 30 min avant la chimiothérapie — IV — NaCl 0,9 % 50 ml — 15 min
2. DOCÉTAXEL — 75 mg/m² — Jours 1 — IV — NaCl 0,9 % 250 ml — 1 h
3. VARGATEF (nintédanib) 100 mg caps. — 200 mg (dose fixe) — Jours 2 (libellé « J2 → J21 ») — matin et soir — Per os — 20 jours
Remarques :
- Bilan hépatique avant chaque cure
Pas dans le protocole (ordonnance de sortie) : SOLUPRED</t>
  </si>
  <si>
    <t xml:space="preserve">LUME-Lung 1</t>
  </si>
  <si>
    <t xml:space="preserve">ALK</t>
  </si>
  <si>
    <t xml:space="preserve">Brigatinib 90 mg puis 180 mg/j</t>
  </si>
  <si>
    <t xml:space="preserve">ALTA-1L</t>
  </si>
  <si>
    <t xml:space="preserve">Crizotinib (Xalkori)</t>
  </si>
  <si>
    <t xml:space="preserve">• REMARQUE à remplacer : « Conforme aux doses eviQ » → « Doses conformes à : PROFILE 1014 (ALK) »</t>
  </si>
  <si>
    <t xml:space="preserve">PROFILE 1014 (ALK) ; PROFILE 1001 (ROS1)</t>
  </si>
  <si>
    <t xml:space="preserve">Poumon / thorax › CBNPC › Métastatique › ROS1 / KRAS / BRAF</t>
  </si>
  <si>
    <t xml:space="preserve">Lorlatinib 100 mg/j</t>
  </si>
  <si>
    <t xml:space="preserve">CROWN</t>
  </si>
  <si>
    <t xml:space="preserve">N087</t>
  </si>
  <si>
    <t xml:space="preserve">Autres altérations (RET, MET, HER2, NTRK)</t>
  </si>
  <si>
    <t xml:space="preserve">Capmatinib 400 mg × 2/j (MET exon 14)</t>
  </si>
  <si>
    <t xml:space="preserve">• Manque dans la bibliothèque (référence : GEOMETRY mono-1)
• Créer d'abord la branche : Poumon / thorax &gt; CBNPC &gt; Métastatique &gt; Autres altérations (RET, MET, HER2, NTRK)</t>
  </si>
  <si>
    <t xml:space="preserve">Rythme : En continu
1. TABRECTA (capmatinib) 200 mg cp — 400 mg (dose fixe) — Jours 1 (libellé « J1 → J28 (continu) ») — matin et soir — Per os — 28 jours
Remarques :
- Œdèmes, bilan hépatique</t>
  </si>
  <si>
    <t xml:space="preserve">GEOMETRY mono-1</t>
  </si>
  <si>
    <t xml:space="preserve">N086</t>
  </si>
  <si>
    <t xml:space="preserve">Selpercatinib 160 mg × 2/j (RET)</t>
  </si>
  <si>
    <t xml:space="preserve">• Manque dans la bibliothèque (référence : LIBRETTO-431)
• Créer d'abord la branche : Poumon / thorax &gt; CBNPC &gt; Métastatique &gt; Autres altérations (RET, MET, HER2, NTRK)</t>
  </si>
  <si>
    <t xml:space="preserve">Rythme : En continu
1. RETSEVMO (selpercatinib) 80 mg gél. — 160 mg (dose fixe) — Jours 1 (libellé « J1 → J28 (continu) ») — matin et soir (120 mg × 2 si &lt; 50 kg) — Per os — 28 jours
Remarques :
- TA, ALAT/ASAT et ECG (QT)</t>
  </si>
  <si>
    <t xml:space="preserve">LIBRETTO-431</t>
  </si>
  <si>
    <t xml:space="preserve">N089</t>
  </si>
  <si>
    <t xml:space="preserve">T-DXd 5,4 mg/kg / 21 j (HER2 muté)</t>
  </si>
  <si>
    <t xml:space="preserve">• Manque dans la bibliothèque (référence : DESTINY-Lung02)
• Créer d'abord la branche : Poumon / thorax &gt; CBNPC &gt; Métastatique &gt; Autres altérations (RET, MET, HER2, NTRK)</t>
  </si>
  <si>
    <t xml:space="preserve">Rythme : J1, tous les 21 jours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ENHERTU (trastuzumab déruxtécan) — 5,4 mg/kg — Jours 1 — IV — G5 % 100 ml — 90 min (C1) puis 30 min
Remarques :
- Scanner thoracique (pneumopathie interstitielle)
Pas dans le protocole (ordonnance de sortie) : EMEND</t>
  </si>
  <si>
    <t xml:space="preserve">DESTINY-Lung02</t>
  </si>
  <si>
    <t xml:space="preserve">N088</t>
  </si>
  <si>
    <t xml:space="preserve">Tépotinib 450 mg/j (MET exon 14)</t>
  </si>
  <si>
    <t xml:space="preserve">• Manque dans la bibliothèque (référence : VISION)
• Créer d'abord la branche : Poumon / thorax &gt; CBNPC &gt; Métastatique &gt; Autres altérations (RET, MET, HER2, NTRK)</t>
  </si>
  <si>
    <t xml:space="preserve">Rythme : En continu
1. TEPMETKO (tépotinib) 225 mg cp — 450 mg (dose fixe) — Jours 1 (libellé « J1 → J28 (continu) ») — 1 prise par jour au repas — Per os — 28 jours
Remarques :
- Œdèmes, créatinine</t>
  </si>
  <si>
    <t xml:space="preserve">VISION</t>
  </si>
  <si>
    <t xml:space="preserve">N002</t>
  </si>
  <si>
    <t xml:space="preserve">EGFR muté</t>
  </si>
  <si>
    <t xml:space="preserve">Afatinib 40 mg/j</t>
  </si>
  <si>
    <t xml:space="preserve">• Manque dans la bibliothèque (référence : LUX-Lung 7)</t>
  </si>
  <si>
    <t xml:space="preserve">Rythme : 1 prise par jour en continu, à jeun
1. GIOTRIF (afatinib) 40 mg cp — 40 mg (dose fixe) — Jours 1 (libellé « J1 → J28 (continu) ») — 1 h avant ou 3 h après un repas — Per os — 28 jours
2. LOPERIUM (lopéramide) 2 mg — dès la 1re selle liquide (unité : texte libre) — Jours 1 — Per os
Remarques :
- Paliers : 40 → 30 → 20 mg
- Diarrhée et paronychie : lopéramide et soins dès J1</t>
  </si>
  <si>
    <t xml:space="preserve">LUX-Lung 7</t>
  </si>
  <si>
    <t xml:space="preserve">N090</t>
  </si>
  <si>
    <t xml:space="preserve">Amivantamab + Lazertinib 240 mg/j (MARIPOSA) – poids &lt; 80 kg</t>
  </si>
  <si>
    <t xml:space="preserve">• Manque dans la bibliothèque (référence : MARIPOSA)</t>
  </si>
  <si>
    <t xml:space="preserve">Rythme : C1 : amivantamab J1-J2 (dose fractionnée), J8, J15, J22 ; ensuite J1 et J15
1. PARACÉTAMOL 1 g cp — 1000 mg (dose fixe) — Jours 1,2,8,15,22 — 30 min avant la perfusion — Per os — C1 seule
2. POLARAMINE (dexchlorphéniramine) 5 mg/1 ml inj. — 5 mg (dose fixe) — Jours 1,2,8,15,22 — 30 min avant la perfusion — IV lente — C1 seule
3. PARACÉTAMOL 1 g cp — 1000 mg (dose fixe) — Jours 1,15 — 30 min avant la perfusion — Per os — sauf C1
4. POLARAMINE (dexchlorphéniramine) 5 mg/1 ml inj. — 5 mg (dose fixe) — Jours 1,15 — 30 min avant la perfusion — IV lente — sauf C1
5. SOLUMEDROL (méthylprednisolone) inj. — 100 mg (dose fixe) — Jours 1,2 — avant l'amivantamab — IV — NaCl 0,9 % 50 ml — 15 min — C1 seule
6. RYBREVANT (amivantamab) — 350 mg (dose fixe) — Jours 1 — IV — NaCl 0,9 % 250 ml — lente, selon RCP — C1 seule
7. RYBREVANT (amivantamab) — 700 mg (dose fixe) — Jours 2 — IV — NaCl 0,9 % 250 ml — C1 seule
8. RYBREVANT (amivantamab) — 1050 mg (dose fixe) — Jours 8,15,22 — IV — NaCl 0,9 % 250 ml — C1 seule
9. RYBREVANT (amivantamab) — 1050 mg (dose fixe) — Jours 1,15 — IV — NaCl 0,9 % 250 ml — sauf C1
10. LAZCLUZE (lazertinib) 240 mg cp — 240 mg (dose fixe) — Jours 1 (libellé « J1 → J28 (continu) ») — Per os — 28 jours
11. Anticoagulation préventive (apixaban 2,5 mg × 2/j) — les 4 premiers mois (RCP) (unité : texte libre) — Jours 1 — Per os
Remarques :
- Poids ≥ 80 kg : 1400 mg (C1 : 350 J1 + 1050 J2)
- Réactions à la perfusion surtout à C1 J1
- Prévention cutanée : doxycycline, émollients</t>
  </si>
  <si>
    <t xml:space="preserve">MARIPOSA</t>
  </si>
  <si>
    <t xml:space="preserve">Erlotinib (Tarceva)</t>
  </si>
  <si>
    <t xml:space="preserve">• REMARQUE à remplacer : « Conforme aux doses eviQ » → « Doses conformes à : EURTAC »</t>
  </si>
  <si>
    <t xml:space="preserve">EURTAC ; OPTIMAL</t>
  </si>
  <si>
    <t xml:space="preserve">N001</t>
  </si>
  <si>
    <t xml:space="preserve">Géfitinib 250 mg/j</t>
  </si>
  <si>
    <t xml:space="preserve">• Manque dans la bibliothèque (référence : IPASS)</t>
  </si>
  <si>
    <t xml:space="preserve">Rythme : 1 prise par jour en continu
1. IRESSA (géfitinib) 250 mg cp — 250 mg (dose fixe) — Jours 1 (libellé « J1 → J28 (continu) ») — Per os — 28 jours
Remarques :
- Bilan hépatique mensuel
- Éviter les IPP (absorption) ; si nécessaires, prendre le géfitinib 2 h avant</t>
  </si>
  <si>
    <t xml:space="preserve">IPASS</t>
  </si>
  <si>
    <t xml:space="preserve">N033</t>
  </si>
  <si>
    <t xml:space="preserve">Osimertinib 80 mg/j + Pémétrexed 500 + Carboplatine AUC 5 / 21 j × 4 (FLAURA2)</t>
  </si>
  <si>
    <t xml:space="preserve">• Manque dans la bibliothèque (référence : FLAURA2)</t>
  </si>
  <si>
    <t xml:space="preserve">Rythme : Osimertinib en continu ; pémétrexed + carboplatine J1 × 4, puis pémétrexed + osimertinib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TAGRISSO (osimertinib) 80 mg cp — 80 mg (dose fixe) — Jours 1 (libellé « J1 → J21 (continu) ») — Per os — 21 jours
4. PÉMÉTREXED (Alimta) — 500 mg/m² — Jours 1 — IV — NaCl 0,9 % 100 ml — 10 min
5. CARBOPLATINE — AUC 5 — Jours 1 — IV — G5 % 250 ml — 30-60 min
Remarques :
- Après 4 cycles : pémétrexed seul + osimertinib (créer la phase d'entretien ou utiliser [13] + [11])
Pas dans le protocole (ordonnance de sortie) : EMEND, SOLUPRED, acide folique, vitamine B12</t>
  </si>
  <si>
    <t xml:space="preserve">FLAURA2</t>
  </si>
  <si>
    <t xml:space="preserve">Pembrolizumab + Pémétrexed</t>
  </si>
  <si>
    <t xml:space="preserve">• Pémétrexed : corticoïde seulement J1 (RCP : J-1, J1, J2) → ordonnance de sortie
• Mention eviQ dans le nom ou les remarques</t>
  </si>
  <si>
    <t xml:space="preserve">• REMARQUE à remplacer : « Conforme aux doses eviQ » → « Doses conformes à : KEYNOTE-189 (phase d'entretien) »
• REMARQUE à ajouter : Pémétrexed : corticoïde la veille (J-1) matin et soir à domicile, sur l'ordonnance « Chimio – Prémédication pémétrexed (ALIMTA) »</t>
  </si>
  <si>
    <t xml:space="preserve">Pémétrexed : DFG ≥ 45 ml/min
Immunothérapie : TSH, transaminases, créatinine, glycémie avant chaque cure ; toxicité immunologique de grade ≥ 2 → suspendre</t>
  </si>
  <si>
    <t xml:space="preserve">Chimio – Prémédication pémétrexed (ALIMTA)</t>
  </si>
  <si>
    <t xml:space="preserve">KEYNOTE-189 (phase d'entretien)</t>
  </si>
  <si>
    <t xml:space="preserve">Pémétrexed entretien</t>
  </si>
  <si>
    <t xml:space="preserve">• REMARQUE à remplacer : « Conforme aux doses eviQ » → « Doses conformes à : PARAMOUNT (entretien) »
• REMARQUE à ajouter : Pémétrexed : corticoïde la veille (J-1) matin et soir à domicile, sur l'ordonnance « Chimio – Prémédication pémétrexed (ALIMTA) »</t>
  </si>
  <si>
    <t xml:space="preserve">Pémétrexed : DFG ≥ 45 ml/min</t>
  </si>
  <si>
    <t xml:space="preserve">PARAMOUNT (entretien) ; JMEI (2e ligne)</t>
  </si>
  <si>
    <t xml:space="preserve">Poumon / thorax › CBNPC › Métastatique › 2e ligne</t>
  </si>
  <si>
    <t xml:space="preserve">N092</t>
  </si>
  <si>
    <t xml:space="preserve">ROS1 / KRAS / BRAF</t>
  </si>
  <si>
    <t xml:space="preserve">Adagrasib 600 mg × 2/j (KRAS G12C)</t>
  </si>
  <si>
    <t xml:space="preserve">• Manque dans la bibliothèque (référence : KRYSTAL-12)</t>
  </si>
  <si>
    <t xml:space="preserve">Rythme : En continu
1. KRAZATI (adagrasib) 200 mg cp — 600 mg (dose fixe) — Jours 1 (libellé « J1 → J28 (continu) ») — matin et soir — Per os — 28 jours
Remarques :
- ECG (QT), bilan hépatique</t>
  </si>
  <si>
    <t xml:space="preserve">KRYSTAL-12</t>
  </si>
  <si>
    <t xml:space="preserve">Dabrafénib 150 mg × 2/j + Tramétinib 2 mg/j</t>
  </si>
  <si>
    <t xml:space="preserve">• INDICATION à ajouter : Thyroïde &gt; Thyroïde anaplasique BRAF V600E (branche à créer)</t>
  </si>
  <si>
    <t xml:space="preserve">BRF113928 (poumon) ; COMBI-AD (adjuvant) ; COMBI-d/-v (mélanome)</t>
  </si>
  <si>
    <t xml:space="preserve">Mélanome › Mélanome › Adjuvant
Mélanome › Mélanome › Métastatique</t>
  </si>
  <si>
    <t xml:space="preserve">N091</t>
  </si>
  <si>
    <t xml:space="preserve">Entrectinib 600 mg/j (ROS1)</t>
  </si>
  <si>
    <t xml:space="preserve">• Manque dans la bibliothèque (référence : STARTRK-2)</t>
  </si>
  <si>
    <t xml:space="preserve">Rythme : En continu
1. ROZLYTREK (entrectinib) 200 mg gél. — 600 mg (dose fixe) — Jours 1 (libellé « J1 → J28 (continu) ») — 1 prise par jour — Per os — 28 jours
Remarques :
- Prise de poids, troubles cognitifs</t>
  </si>
  <si>
    <t xml:space="preserve">STARTRK-2</t>
  </si>
  <si>
    <t xml:space="preserve">Sotorasib 960 mg/j</t>
  </si>
  <si>
    <t xml:space="preserve">CodeBreaK 200 (KRAS G12C, 2e ligne)</t>
  </si>
  <si>
    <t xml:space="preserve">Sans altération moléculaire</t>
  </si>
  <si>
    <t xml:space="preserve">Carboplatine + Vinorelbine</t>
  </si>
  <si>
    <t xml:space="preserve">• REMPLACER par : NIVESTIM (filgrastim) 30 MU/0,5 ml — 1 injection SC par jour : 30 MU, 48 MU si poids &gt; 70 kg (unité : texte libre) — Jours 10,11,12,13,14 (libellé « J10 → J14 : 5 injections ») — à domicile (infirmière), dès 24 h après la fin de la chimiothérapie ; si G-CSF décidé — SC (remplace la ligne « NIVESTIM 30 MU (filgrastim) » sans dose ni durée)
• REMARQUE à remplacer : « Conforme aux doses eviQ » → « Doses conformes à : Schéma usuel (ex. Helbekkmo 2007) »</t>
  </si>
  <si>
    <t xml:space="preserve">Séances hebdomadaires (J8, J15…) : PNN ≥ 1,0 G/L et plaquettes ≥ 75 G/L
Carboplatine : créatinine du jour obligatoire (Calvert, clairance plafonnée à 125 ml/min)
Vinorelbine : PNN ≥ 1,5 (J8 : ≥ 1,0)</t>
  </si>
  <si>
    <t xml:space="preserve">Schéma usuel (ex. Helbekkmo 2007)</t>
  </si>
  <si>
    <t xml:space="preserve">Carboplatine AUC 5 + Gemcitabine 1000 J1-J8 / 21 j (poumon)</t>
  </si>
  <si>
    <t xml:space="preserve">• Doublon de [82] (mêmes molécules, mêmes doses, même cycle)</t>
  </si>
  <si>
    <t xml:space="preserve">• SUPPRIMER LE PROTOCOLE : après avoir ajouté ses indications dans [82] (elles sont listées sur la ligne de [82])</t>
  </si>
  <si>
    <t xml:space="preserve">Schéma usuel (Grønberg 2009, bras de comparaison)</t>
  </si>
  <si>
    <t xml:space="preserve">Carboplatine AUC 6 + Paclitaxel 200 + Pembrolizumab 200 / 21 j (KEYNOTE-407)</t>
  </si>
  <si>
    <t xml:space="preserve">• Anti-NK1 absent (modéré haut – carboplatine auc ≥ 5) → ordonnance de sortie
• Paclitaxel sans anti-H1 (prévu par le RCP avec le corticoïde)
• Mention eviQ dans le nom ou les remarques</t>
  </si>
  <si>
    <t xml:space="preserve">• MODIFIER : SOLUMEDROL 80 mg → 60 mg les jours de l'aprépitant (J1) : interaction, RCP Emend (−25 % en IV)
• AJOUTER la ligne : POLARAMINE (dexchlorphéniramine) 5 mg/1 ml inj. — 5 mg (dose fixe) — Jours 1 — 30 min avant la perfusion — IV lente
• REMARQUE à remplacer : « Référence eviQ (épidermoïde) » → « Référence : KEYNOTE-407 – épidermoïde »</t>
  </si>
  <si>
    <t xml:space="preserve">KEYNOTE-407</t>
  </si>
  <si>
    <t xml:space="preserve">Gynécologie › Col de l'utérus › Récidivant / métastatique
Gynécologie › Endomètre › Récidivant / métastatique</t>
  </si>
  <si>
    <t xml:space="preserve">N034</t>
  </si>
  <si>
    <t xml:space="preserve">Carboplatine AUC 6 J1 + Nab-paclitaxel 100 J1-J8-J15 / 21 j</t>
  </si>
  <si>
    <t xml:space="preserve">• Manque dans la bibliothèque (référence : Socinski 2012 ; KEYNOTE-407)</t>
  </si>
  <si>
    <t xml:space="preserve">Rythme : Carboplatine J1 ; nab-paclitaxel J1, J8, J15 – tous les 21 jours × 4 à 6
1. ONSET (ondansétron) 8 mg/4 ml inj. — 8 mg (dose fixe) — Jours 1,8,15 — 30 min avant la chimiothérapie — IV — NaCl 0,9 % 50 ml — 15 min
2. SOLUMEDROL (méthylprednisolone) inj. — 60 mg (dose fixe) — Jours 1 — 30 min avant la chimiothérapie — IV — NaCl 0,9 % 50 ml — 15 min
3. ABRAXANE (nab-paclitaxel) — 100 mg/m² — Jours 1,8,15 — IV — poche vide stérile, non dilué — 30 min
4. CARBOPLATINE — AUC 6 — Jours 1 — IV — G5 % 250 ml — 30-60 min
Remarques :
- Épidermoïde : peut être associé au pembrolizumab 200 mg J1 (KEYNOTE-407)
Pas dans le protocole (ordonnance de sortie) : EMEND</t>
  </si>
  <si>
    <t xml:space="preserve">Socinski 2012 ; KEYNOTE-407</t>
  </si>
  <si>
    <t xml:space="preserve">N036</t>
  </si>
  <si>
    <t xml:space="preserve">Carboplatine AUC 6 J1 + Paclitaxel 100 J1-J8-J15 / 28 j</t>
  </si>
  <si>
    <t xml:space="preserve">• Manque dans la bibliothèque (référence : Belani 2008)</t>
  </si>
  <si>
    <t xml:space="preserve">Rythme : Carboplatine J1 ; paclitaxel J1, J8, J15 – tous les 28 jours × 4
1. ONSET (ondansétron) 8 mg/4 ml inj. — 8 mg (dose fixe) — Jours 1,8,15 — 30 min avant la chimiothérapie — IV — NaCl 0,9 % 50 ml — 15 min
2. SOLUMEDROL (méthylprednisolone) inj. — 60 mg (dose fixe) — Jours 1 — 30 min avant la chimiothérapie — IV — NaCl 0,9 % 50 ml — 15 min
3. POLARAMINE (dexchlorphéniramine) 5 mg/1 ml inj. — 5 mg (dose fixe) — Jours 1,8,15 — 30 min avant la perfusion — IV lente
4. SOLUMEDROL (méthylprednisolone) inj. — 80 mg (dose fixe) — Jours 1,8,15 — 30 min avant la chimiothérapie — IV — NaCl 0,9 % 50 ml — 15 min
5. PACLITAXEL — 100 mg/m² — Jours 1,8,15 — IV — NaCl 0,9 % 250 ml, filtre 0,22 µm — 1 h
6. CARBOPLATINE — AUC 6 — Jours 1 — IV — G5 % 250 ml — 30-60 min
Pas dans le protocole (ordonnance de sortie) : EMEND</t>
  </si>
  <si>
    <t xml:space="preserve">Belani 2008</t>
  </si>
  <si>
    <t xml:space="preserve">N093</t>
  </si>
  <si>
    <t xml:space="preserve">CheckMate 9LA – phase 1 : Nivolumab 360 + Ipilimumab 1 mg/kg + Carboplatine AUC 5 + Pémétrexed 500 × 2 (non épidermoïde)</t>
  </si>
  <si>
    <t xml:space="preserve">• Manque dans la bibliothèque (référence : CheckMate 9LA)</t>
  </si>
  <si>
    <t xml:space="preserve">Rythme : 2 cycles de 21 jours, puis protocole « Nivolumab 360 / 21 j + Ipilimumab 1 mg/kg / 6 sem » (CheckMate 743 [301])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OPDIVO (nivolumab) — 360 mg (dose fixe) — Jours 1 — IV — NaCl 0,9 % 100 ml — 30 min
4. YERVOY (ipilimumab) — 1 mg/kg — Jours 1 — IV — NaCl 0,9 % 100 ml — 30 min — C1 seule
5. PÉMÉTREXED (Alimta) — 500 mg/m² — Jours 1 — IV — NaCl 0,9 % 100 ml — 10 min
6. CARBOPLATINE — AUC 5 — Jours 1 — IV — G5 % 250 ml — 30-60 min
Remarques :
- Ipilimumab toutes les 6 semaines : au C1 ici, puis dans le protocole de la phase 2
- Il manque à l'éditeur une option « cycles 1 à n » : d'où les deux protocoles
Pas dans le protocole (ordonnance de sortie) : EMEND, SOLUPRED, acide folique, vitamine B12</t>
  </si>
  <si>
    <t xml:space="preserve">Carboplatine : créatinine du jour obligatoire (Calvert, clairance plafonnée à 125 ml/min)
Pémétrexed : DFG ≥ 45 ml/min
Immunothérapie : TSH, transaminases, créatinine, glycémie avant chaque cure ; toxicité de grade ≥ 2 → suspendre
Ipilimumab : transaminases, TSH, cortisol ; colite de grade ≥ 2 → arrêt</t>
  </si>
  <si>
    <t xml:space="preserve">CheckMate 9LA</t>
  </si>
  <si>
    <t xml:space="preserve">N035</t>
  </si>
  <si>
    <t xml:space="preserve">Cisplatine 75 + Docétaxel 75 / 21 j</t>
  </si>
  <si>
    <t xml:space="preserve">• Manque dans la bibliothèque (référence : TAX 326 (Fossella 2003))</t>
  </si>
  <si>
    <t xml:space="preserve">Rythme : J1, tous les 21 jours × 4 à 6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HYDRATATION AVANT CISPLATINE : NaCl 0,9 % — 1000 ml + KCl 1,5 g + MgSO4 2 g (unité : texte libre) — Jours 1 — en 1 h, avant le cisplatine — IV
4. HYDRATATION APRÈS CISPLATINE : NaCl 0,9 % — 1000 ml (unité : texte libre) — Jours 1 — en 1 h, après le cisplatine ; diurèse ≥ 100 ml/h — IV
5. DOCÉTAXEL — 75 mg/m² — Jours 1 — IV — NaCl 0,9 % 250 ml — 1 h
6. CISPLATINE — 75 mg/m² — Jours 1 — IV — NaCl 0,9 % 500 ml — 1 h
Pas dans le protocole (ordonnance de sortie) : EMEND, SOLUPRED, OLANZAPINE</t>
  </si>
  <si>
    <t xml:space="preserve">Cisplatine : DFG ≥ 60 ml/min (45-59 : réduire ou carboplatine) ; magnésémie et audition avant chaque cure
Docétaxel : bilirubine ≤ normale ; ne pas faire si ASAT/ALAT &gt; 1,5 × N avec PAL &gt; 2,5 × N</t>
  </si>
  <si>
    <t xml:space="preserve">Chimio – Sortie : risque émétique élevé (cisplatine, dacarbazine)
Chimio – Prémédication docétaxel (à prendre à domicile)</t>
  </si>
  <si>
    <t xml:space="preserve">TAX 326 (Fossella 2003)</t>
  </si>
  <si>
    <t xml:space="preserve">Paclitaxel + Carboplatine + Bévacizumab</t>
  </si>
  <si>
    <t xml:space="preserve">• MODIFIER : SOLUMEDROL 120 mg → 90 mg les jours de l'aprépitant (J1) : interaction, RCP Emend (−25 % en IV)
• AJOUTER la ligne : POLARAMINE (dexchlorphéniramine) 5 mg/1 ml inj. — 5 mg (dose fixe) — Jours 1 — 30 min avant la perfusion — IV lente
• REMARQUE à remplacer : « Conforme aux doses eviQ » → « Doses conformes à : ECOG 4599 (Sandler 2006) »</t>
  </si>
  <si>
    <t xml:space="preserve">ECOG 4599 (Sandler 2006)</t>
  </si>
  <si>
    <t xml:space="preserve">Paclitaxel + Carboplatine hebdomadaire – fractionné (HGC)</t>
  </si>
  <si>
    <t xml:space="preserve">• Paclitaxel sans anti-H1 (prévu par le RCP avec le corticoïde)
• Regroupe les doublons : [27]</t>
  </si>
  <si>
    <t xml:space="preserve">• AJOUTER la ligne : POLARAMINE (dexchlorphéniramine) 5 mg/1 ml inj. — 5 mg (dose fixe) — Jours 1,8,15 — 30 min avant la perfusion — IV lente
• INDICATION à ajouter : Tête et cou &gt; VADS &gt; Récidivant / métastatique
• REMARQUE à ajouter : Références hebdomadaires : MITO-7 (ovaire), Belani 2008 (poumon), INTERLACE (col, induction)
• INDICATION à ajouter : Sein › Sein › Localisé – néoadjuvant › Triple négatif (vient de [27])
• INDICATION à ajouter : Sein › Sein › Métastatique › RH+ / HER2− – chimiothérapie (vient de [27])
• À FAIRE : reprendre ici les remarques utiles de [27], puis supprimer [27]</t>
  </si>
  <si>
    <t xml:space="preserve">Variante locale ; références hebdomadaires : MITO-7 (ovaire), Belani 2008 (poumon)</t>
  </si>
  <si>
    <t xml:space="preserve">Gynécologie › Ovaire / trompe / péritoine › Néoadjuvant / adjuvant</t>
  </si>
  <si>
    <t xml:space="preserve">Pembrolizumab + Carboplatine hebdo + Pémétrexed – fractionné (HGC)</t>
  </si>
  <si>
    <t xml:space="preserve">• Aucun corticoïde alors que le risque émétique est modéré
• Pémétrexed sans corticoïde (prévention du rash prévue par le RCP) → Ajouter le corticoïde J-1 à J+1 → ordonnance de sortie</t>
  </si>
  <si>
    <t xml:space="preserve">• AJOUTER la ligne : SOLUMEDROL (méthylprednisolone) inj. — 60 mg (dose fixe) — Jours 1,8,15 — 30 min avant la chimiothérapie — IV — NaCl 0,9 % 50 ml — 15 min
• REMARQUE à ajouter : Pémétrexed : corticoïde la veille (J-1) matin et soir à domicile, sur l'ordonnance « Chimio – Prémédication pémétrexed (ALIMTA) »</t>
  </si>
  <si>
    <t xml:space="preserve">Séances hebdomadaires (J8, J15…) : PNN ≥ 1,0 G/L et plaquettes ≥ 75 G/L
Carboplatine : créatinine du jour obligatoire (Calvert, clairance plafonnée à 125 ml/min)
Pémétrexed : DFG ≥ 45 ml/min
Immunothérapie : TSH, transaminases, créatinine, glycémie avant chaque cure ; toxicité immunologique de grade ≥ 2 → suspendre</t>
  </si>
  <si>
    <t xml:space="preserve">Chimio – Sortie : risque émétique modéré (oxaliplatine, irinotécan…)
Chimio – Prémédication pémétrexed (ALIMTA)</t>
  </si>
  <si>
    <t xml:space="preserve">Variante locale de KEYNOTE-189 (carboplatine AUC 2 hebdomadaire)</t>
  </si>
  <si>
    <t xml:space="preserve">Pémétrexed + Cisplatine 25 J1-J3 + Bévacizumab – fractionné (HGC)</t>
  </si>
  <si>
    <t xml:space="preserve">• Anti-NK1 et olanzapine absents (risque émétique élevé) → ordonnance de sortie
• Cisplatine multi-jours : corticoïde non prolongé après la dernière dose → ordonnance de sortie
• Cisplatine sans hydratation ni magnésium ni potassium
• Pémétrexed : corticoïde seulement J1 (RCP : J-1, J1, J2) → ordonnance de sortie</t>
  </si>
  <si>
    <t xml:space="preserve">• MODIFIER : SOLUMEDROL 100 mg → 80 mg les jours de l'aprépitant (J1) : interaction, RCP Emend (−25 % en IV)
• AJOUTER la ligne : SOLUMEDROL (méthylprednisolone) inj. — 40 mg (dose fixe) — Jours 2,3 — 30 min avant la chimiothérapie — IV — NaCl 0,9 % 50 ml — 15 min
• AJOUTER la ligne : HYDRATATION AVANT CISPLATINE : NaCl 0,9 % — 500 ml + KCl 1,5 g + MgSO4 2 g (unité : texte libre) — Jours 1,2,3 — en 1 h, avant le cisplatine — IV
• AJOUTER la ligne : HYDRATATION APRÈS CISPLATINE : NaCl 0,9 % — 500 ml (unité : texte libre) — Jours 1,2,3 — en 1 h, après le cisplatine ; diurèse ≥ 100 ml/h — IV
• REMARQUE à ajouter : Pémétrexed : corticoïde la veille (J-1) matin et soir à domicile, sur l'ordonnance « Chimio – Prémédication pémétrexed (ALIMTA) »</t>
  </si>
  <si>
    <t xml:space="preserve">Cisplatine : DFG ≥ 60 ml/min (45-59 : réduire ou carboplatine) ; magnésémie et audition avant chaque cure
Pémétrexed : DFG ≥ 45 ml/min
Anti-VEGF : TA &lt; 160/100 ; protéinurie &lt; 2 g/24 h (bandelette &lt; 2+) ; pas de chirurgie &lt; 28 jours</t>
  </si>
  <si>
    <t xml:space="preserve">Chimio – Sortie : cisplatine sur plusieurs jours (BEP, EP, VIP…)
Chimio – Prémédication pémétrexed (ALIMTA)</t>
  </si>
  <si>
    <t xml:space="preserve">Variante locale ; bévacizumab 7,5 mg/kg : AVAiL</t>
  </si>
  <si>
    <t xml:space="preserve">Poumon / thorax › Mésothéliome pleural › Première ligne</t>
  </si>
  <si>
    <t xml:space="preserve">Pémétrexed + Cisplatine 25 J1-J3 + Pembrolizumab – fractionné (HGC)</t>
  </si>
  <si>
    <t xml:space="preserve">• Pémétrexed + cisplatine sans corticoïde : ni prévention du rash (RCP pémétrexed) ni antiémétique complet pour un cisplatine → Ajouter le corticoïde J-1 à J+1 (Solumedrol à dose équivalente) et le bloc hautement émétisant multi-jours
• Anti-NK1 et olanzapine absents (risque émétique élevé) → ordonnance de sortie
• Cisplatine sans hydratation ni magnésium ni potassium</t>
  </si>
  <si>
    <t xml:space="preserve">• AJOUTER la ligne : SOLUMEDROL (méthylprednisolone) inj. — 40 mg (dose fixe) — Jours 1,2,3 — 30 min avant la chimiothérapie — IV — NaCl 0,9 % 50 ml — 15 min
• AJOUTER la ligne : HYDRATATION AVANT CISPLATINE : NaCl 0,9 % — 500 ml + KCl 1,5 g + MgSO4 2 g (unité : texte libre) — Jours 1,2,3 — en 1 h, avant le cisplatine — IV
• AJOUTER la ligne : HYDRATATION APRÈS CISPLATINE : NaCl 0,9 % — 500 ml (unité : texte libre) — Jours 1,2,3 — en 1 h, après le cisplatine ; diurèse ≥ 100 ml/h — IV
• REMARQUE à ajouter : Pémétrexed : corticoïde la veille (J-1) matin et soir à domicile, sur l'ordonnance « Chimio – Prémédication pémétrexed (ALIMTA) »</t>
  </si>
  <si>
    <t xml:space="preserve">Cisplatine : DFG ≥ 60 ml/min (45-59 : réduire ou carboplatine) ; magnésémie et audition avant chaque cure
Pémétrexed : DFG ≥ 45 ml/min
Immunothérapie : TSH, transaminases, créatinine, glycémie avant chaque cure ; toxicité immunologique de grade ≥ 2 → suspendre</t>
  </si>
  <si>
    <t xml:space="preserve">Variante locale de KEYNOTE-189 (cisplatine fractionné J1-J3)</t>
  </si>
  <si>
    <t xml:space="preserve">Pémétrexed 500 + Carboplatine AUC 5 + Pembrolizumab 200 / 21 j (KEYNOTE-189)</t>
  </si>
  <si>
    <t xml:space="preserve">• Anti-NK1 absent (modéré haut – carboplatine auc ≥ 5) → ordonnance de sortie
• Pémétrexed : corticoïde seulement J1 (RCP : J-1, J1, J2) → ordonnance de sortie
• Mention eviQ dans le nom ou les remarques</t>
  </si>
  <si>
    <t xml:space="preserve">• INDICATION à ajouter : Poumon / thorax &gt; Mésothéliome pleural &gt; Première ligne (KEYNOTE-483)
• REMARQUE à remplacer : « Référence eviQ (non épidermoïde) » → « Référence : KEYNOTE-189 (carboplatine) – non épidermoïde »
• REMARQUE à ajouter : Pémétrexed : corticoïde la veille (J-1) matin et soir à domicile, sur l'ordonnance « Chimio – Prémédication pémétrexed (ALIMTA) »</t>
  </si>
  <si>
    <t xml:space="preserve">Carboplatine : créatinine du jour obligatoire (Calvert, clairance plafonnée à 125 ml/min)
Pémétrexed : DFG ≥ 45 ml/min
Immunothérapie : TSH, transaminases, créatinine, glycémie avant chaque cure ; toxicité immunologique de grade ≥ 2 → suspendre</t>
  </si>
  <si>
    <t xml:space="preserve">KEYNOTE-189 (carboplatine)</t>
  </si>
  <si>
    <t xml:space="preserve">Pémétrexed 500 + Cisplatine 75 + Pembrolizumab 200 / 21 j (KEYNOTE-189)</t>
  </si>
  <si>
    <t xml:space="preserve">• Anti-NK1 et olanzapine absents (risque émétique élevé) → ordonnance de sortie
• Phase retardée non couverte : pas de corticoïde J2-J4 après le cisplatine (J1) → ordonnance de sortie
• Pémétrexed : corticoïde seulement J1 (RCP : J-1, J1, J2) → ordonnance de sortie
• Hydratation du cisplatine seulement en remarque (pas de lignes NaCl, KCl, MgSO4)
• Mention eviQ dans le nom ou les remarques
• Pas un doublon de [151] : mêmes doses, mais [151] = 4 cures en périopératoire (KEYNOTE-671), [298] = métastatique (KEYNOTE-189). Garder les deux ; le nom doit dire le contexte</t>
  </si>
  <si>
    <t xml:space="preserve">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INDICATION à ajouter : Poumon / thorax &gt; Mésothéliome pleural &gt; Première ligne (KEYNOTE-483)
• REMARQUE à remplacer : « Référence eviQ (KEYNOTE-189) » → « Référence : KEYNOTE-189 »
• REMARQUE à ajouter : Pémétrexed : corticoïde la veille (J-1) matin et soir à domicile, sur l'ordonnance « Chimio – Prémédication pémétrexed (ALIMTA) »</t>
  </si>
  <si>
    <t xml:space="preserve">KEYNOTE-189</t>
  </si>
  <si>
    <t xml:space="preserve">Résécable – adjuvant</t>
  </si>
  <si>
    <t xml:space="preserve">Alectinib 600 mg × 2/j</t>
  </si>
  <si>
    <t xml:space="preserve">ALINA (adjuvant) ; ALEX (métastatique)</t>
  </si>
  <si>
    <t xml:space="preserve">Poumon / thorax › CBNPC › Métastatique › ALK</t>
  </si>
  <si>
    <t xml:space="preserve">Atézolizumab (Tecentriq)</t>
  </si>
  <si>
    <t xml:space="preserve">• Mention eviQ dans le nom ou les remarques
• Localisation « Poumon / sein » mais aucune indication sein (IMpassion130 retiré) → Corriger la localisation</t>
  </si>
  <si>
    <t xml:space="preserve">• MODIFIER : Localisation : « Poumon » au lieu de « Poumon / sein »
• REMARQUE à remplacer : « Conforme aux doses eviQ » → « Doses conformes à : IMpower010 (adjuvant) »</t>
  </si>
  <si>
    <t xml:space="preserve">IMpower010 (adjuvant) ; OAK (2e ligne) ; IMpower110 (1re ligne PD-L1 ≥ 50 %)</t>
  </si>
  <si>
    <t xml:space="preserve">Cisplatine 80 + Vinorelbine 25 J1-J8 / 21 j (adjuvant)</t>
  </si>
  <si>
    <t xml:space="preserve">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remplacer : « Référence eviQ (adjuvant CBNPC) » → « Référence : ANITA – adjuvant CBNPC »</t>
  </si>
  <si>
    <t xml:space="preserve">ANITA ; JBR.10</t>
  </si>
  <si>
    <t xml:space="preserve">Osimertinib (Tagrisso)</t>
  </si>
  <si>
    <t xml:space="preserve">• REMARQUE à remplacer : « Conforme aux doses eviQ » → « Doses conformes à : FLAURA (métastatique) »</t>
  </si>
  <si>
    <t xml:space="preserve">FLAURA (métastatique) ; ADAURA (adjuvant)</t>
  </si>
  <si>
    <t xml:space="preserve">Poumon / thorax › CBNPC › Métastatique › EGFR muté</t>
  </si>
  <si>
    <t xml:space="preserve">Résécable – néoadjuvant</t>
  </si>
  <si>
    <t xml:space="preserve">Carboplatine AUC 6 + Paclitaxel 200 / 21 j</t>
  </si>
  <si>
    <t xml:space="preserve">• Anti-NK1 absent (modéré haut – carboplatine auc ≥ 5) → ordonnance de sortie
• Paclitaxel sans anti-H1 (prévu par le RCP avec le corticoïde)
• G-CSF en texte : ni dose, ni durée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</si>
  <si>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
• MODIFIER : SOLUMEDROL 80 mg → 60 mg les jours de l'aprépitant (J1) : interaction, RCP Emend (−25 % en IV)
• AJOUTER la ligne : POLARAMINE (dexchlorphéniramine) 5 mg/1 ml inj. — 5 mg (dose fixe) — Jours 1 — 30 min avant la perfusion — IV lente
• REMARQUE à remplacer : « Référence eviQ (CBNPC) » → « Référence : ECOG 1594 (Schiller 2002) – CBNPC »</t>
  </si>
  <si>
    <t xml:space="preserve">ECOG 1594 (Schiller 2002) ; thymus : Lemma 2011</t>
  </si>
  <si>
    <t xml:space="preserve">Poumon / thorax › CBNPC › Métastatique › Sans altération moléculaire
Poumon / thorax › Tumeurs du thymus › Première ligne</t>
  </si>
  <si>
    <t xml:space="preserve">Cisplatine 75 + Gemcitabine 1250 J1-J8 / 21 j (poumon)</t>
  </si>
  <si>
    <t xml:space="preserve">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remplacer : « Référence eviQ (CBNPC, surtout épidermoïde) » → « Référence : JMDB (bras gemcitabine) – CBNPC, surtout épidermoïde »</t>
  </si>
  <si>
    <t xml:space="preserve">JMDB (bras gemcitabine)</t>
  </si>
  <si>
    <t xml:space="preserve">Poumon / thorax › CBNPC › Résécable – adjuvant
Poumon / thorax › CBNPC › Métastatique › Sans altération moléculaire</t>
  </si>
  <si>
    <t xml:space="preserve">N037</t>
  </si>
  <si>
    <t xml:space="preserve">Durvalumab 1500 + Cisplatine 75 + Pémétrexed 500 / 21 j × 4 (AEGEAN, non épidermoïde)</t>
  </si>
  <si>
    <t xml:space="preserve">• Manque dans la bibliothèque (référence : AEGEAN)</t>
  </si>
  <si>
    <t xml:space="preserve">Rythme : J1, tous les 21 jours × 4 avant chirurgie, puis durvalumab 1500 / 4 semaines × 12 ([16])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HYDRATATION AVANT CISPLATINE : NaCl 0,9 % — 1000 ml + KCl 1,5 g + MgSO4 2 g (unité : texte libre) — Jours 1 — en 1 h, avant le cisplatine — IV
4. HYDRATATION APRÈS CISPLATINE : NaCl 0,9 % — 1000 ml (unité : texte libre) — Jours 1 — en 1 h, après le cisplatine ; diurèse ≥ 100 ml/h — IV
5. IMFINZI (durvalumab) — 1500 mg (dose fixe) — Jours 1 — IV — NaCl 0,9 % 100 ml — 60 min
6. PÉMÉTREXED (Alimta) — 500 mg/m² — Jours 1 — IV — NaCl 0,9 % 100 ml — 10 min
7. CISPLATINE — 75 mg/m² — Jours 1 — IV — NaCl 0,9 % 500 ml — 1 h
Remarques :
- EGFR et ALK négatifs
- Épidermoïde : carboplatine AUC 5 + paclitaxel 175 à la place
Pas dans le protocole (ordonnance de sortie) : EMEND, SOLUPRED, OLANZAPINE, acide folique, vitamine B12</t>
  </si>
  <si>
    <t xml:space="preserve">Cisplatine : DFG ≥ 60 ml/min (45-59 : réduire ou carboplatine) ; magnésémie et audition avant chaque cure
Pémétrexed : DFG ≥ 45 ml/min
Immunothérapie : TSH, transaminases, créatinine, glycémie avant chaque cure</t>
  </si>
  <si>
    <t xml:space="preserve">AEGEAN</t>
  </si>
  <si>
    <t xml:space="preserve">Nivolumab 360 + Carboplatine AUC 5 + Paclitaxel 175 × 3 (CheckMate 816)</t>
  </si>
  <si>
    <t xml:space="preserve">• MODIFIER : SOLUMEDROL 80 mg → 60 mg les jours de l'aprépitant (J1) : interaction, RCP Emend (−25 % en IV)
• AJOUTER la ligne : POLARAMINE (dexchlorphéniramine) 5 mg/1 ml inj. — 5 mg (dose fixe) — Jours 1 — 30 min avant la perfusion — IV lente
• REMARQUE à ajouter : CheckMate 77T : 4 cycles avant chirurgie, puis nivolumab 480 mg / 4 semaines pendant 1 an ([260])</t>
  </si>
  <si>
    <t xml:space="preserve">Carboplatine : créatinine du jour obligatoire (Calvert, clairance plafonnée à 125 ml/min)
Paclitaxel : bilirubine ≤ 1,5 × N ; neuropathie de grade ≥ 2 → réduire
Immunothérapie : TSH, transaminases, créatinine, glycémie avant chaque cure ; toxicité de grade ≥ 2 → suspendre</t>
  </si>
  <si>
    <t xml:space="preserve">CheckMate 816</t>
  </si>
  <si>
    <t xml:space="preserve">Pembrolizumab + Cisplatine 75 + Pémétrexed 500 × 4 (KEYNOTE-671)</t>
  </si>
  <si>
    <t xml:space="preserve">• Anti-NK1 et olanzapine absents (risque émétique élevé) → ordonnance de sortie
• Phase retardée non couverte : pas de corticoïde J2-J4 après le cisplatine (J1) → ordonnance de sortie
• Pémétrexed : corticoïde seulement J1 (RCP : J-1, J1, J2) → ordonnance de sortie
• Hydratation du cisplatine seulement en remarque (pas de lignes NaCl, KCl, MgSO4)
• Pas un doublon de [298] : mêmes doses, mais [151] = 4 cures en périopératoire (KEYNOTE-671), [298] = métastatique (KEYNOTE-189). Garder les deux ; le nom doit dire le contexte</t>
  </si>
  <si>
    <t xml:space="preserve">KEYNOTE-671</t>
  </si>
  <si>
    <t xml:space="preserve">Pémétrexed + Carboplatine J1-J21</t>
  </si>
  <si>
    <t xml:space="preserve">• Anti-NK1 absent (modéré haut – carboplatine auc ≥ 5) → ordonnance de sortie
• Pémétrexed : corticoïde seulement J1 (RCP : J-1, J1, J2) → ordonnance de sortie
• Mention eviQ dans le nom ou les remarques
• Pas un doublon de [158] : mêmes doses, mais [158] = 3 cures avec la radiothérapie, [22] = maladie métastatique. Garder les deux ; le nom doit dire le contexte</t>
  </si>
  <si>
    <t xml:space="preserve">• MODIFIER : SOLUMEDROL 120 mg → 90 mg les jours de l'aprépitant (J1) : interaction, RCP Emend (−25 % en IV)
• REMARQUE à remplacer : « Conforme aux doses eviQ » → « Doses conformes à : Schéma usuel (Grønberg 2009) »
• REMARQUE à ajouter : Pémétrexed : corticoïde la veille (J-1) matin et soir à domicile, sur l'ordonnance « Chimio – Prémédication pémétrexed (ALIMTA) »</t>
  </si>
  <si>
    <t xml:space="preserve">Schéma usuel (Grønberg 2009) ; KEYNOTE-189 sans pembrolizumab</t>
  </si>
  <si>
    <t xml:space="preserve">Poumon / thorax › CBNPC › Résécable – adjuvant
Poumon / thorax › CBNPC › Métastatique › Sans altération moléculaire
Poumon / thorax › Mésothéliome pleural › Première ligne</t>
  </si>
  <si>
    <t xml:space="preserve">Pémétrexed + Cisplatine 25 J1-J3 – fractionné (HGC)</t>
  </si>
  <si>
    <t xml:space="preserve">• Anti-NK1 et olanzapine absents (risque émétique élevé) → ordonnance de sortie
• Cisplatine multi-jours : corticoïde non prolongé après la dernière dose → ordonnance de sortie
• Cisplatine sans hydratation ni magnésium ni potassium</t>
  </si>
  <si>
    <t xml:space="preserve">• MODIFIER : SOLUMEDROL 120 mg → 90 mg les jours de l'aprépitant (J1) : interaction, RCP Emend (−25 % en IV)
• AJOUTER la ligne : HYDRATATION AVANT CISPLATINE : NaCl 0,9 % — 500 ml + KCl 1,5 g + MgSO4 2 g (unité : texte libre) — Jours 1,2,3 — en 1 h, avant le cisplatine — IV
• AJOUTER la ligne : HYDRATATION APRÈS CISPLATINE : NaCl 0,9 % — 500 ml (unité : texte libre) — Jours 1,2,3 — en 1 h, après le cisplatine ; diurèse ≥ 100 ml/h — IV
• REMARQUE à ajouter : Pémétrexed : corticoïde la veille (J-1) matin et soir à domicile, sur l'ordonnance « Chimio – Prémédication pémétrexed (ALIMTA) »</t>
  </si>
  <si>
    <t xml:space="preserve">Variante locale (cisplatine 25 J1-J3 = 75 mg/m² par cycle)</t>
  </si>
  <si>
    <t xml:space="preserve">Pémétrexed 500 + Cisplatine 75 J1 / 21 j</t>
  </si>
  <si>
    <t xml:space="preserve">• Anti-NK1 et olanzapine absents (risque émétique élevé) → ordonnance de sortie
• Phase retardée non couverte : pas de corticoïde J2-J4 après le cisplatine (J1) → ordonnance de sortie
• Pémétrexed : corticoïde seulement J1 (RCP : J-1, J1, J2) → ordonnance de sortie
• Hydratation du cisplatine seulement en remarque (pas de lignes NaCl, KCl, MgSO4)
• Mention eviQ dans le nom ou les remarques
• Pas un doublon de [157] : mêmes doses, mais [157] = 3 cures avec la radiothérapie (PROCLAIM), [297] = métastatique. Garder les deux ; le nom doit dire le contexte</t>
  </si>
  <si>
    <t xml:space="preserve">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remplacer : « Référence eviQ (CBNPC non épidermoïde) » → « Référence : JMDB (Scagliotti 2008) – CBNPC non épidermoïde »
• REMARQUE à ajouter : Pémétrexed : corticoïde la veille (J-1) matin et soir à domicile, sur l'ordonnance « Chimio – Prémédication pémétrexed (ALIMTA) »</t>
  </si>
  <si>
    <t xml:space="preserve">JMDB (Scagliotti 2008)</t>
  </si>
  <si>
    <t xml:space="preserve">CBPC</t>
  </si>
  <si>
    <t xml:space="preserve">Maladie étendue</t>
  </si>
  <si>
    <t xml:space="preserve">Carboplatine AUC 5 + Étoposide 100 + Atézolizumab 1200 × 4 (IMpower133)</t>
  </si>
  <si>
    <t xml:space="preserve">• Anti-NK1 absent (modéré haut – carboplatine auc ≥ 5) → ordonnance de sortie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</si>
  <si>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5,6,7,8,9 (libellé « J5 → J9 : 5 injections ») — à domicile (infirmière), dès 24 h après la fin de la chimiothérapie ; si G-CSF décidé — SC (remplace la ligne « NIVESTIM 30 MU (filgrastim) » sans dose ni durée)</t>
  </si>
  <si>
    <t xml:space="preserve">Carboplatine : créatinine du jour obligatoire (Calvert, clairance plafonnée à 125 ml/min)
Immunothérapie : TSH, transaminases, créatinine, glycémie avant chaque cure</t>
  </si>
  <si>
    <t xml:space="preserve">IMpower133</t>
  </si>
  <si>
    <t xml:space="preserve">Carboplatine AUC 5 + Étoposide 100 + Durvalumab 1500 × 4 (CASPIAN)</t>
  </si>
  <si>
    <t xml:space="preserve">CASPIAN</t>
  </si>
  <si>
    <t xml:space="preserve">N094</t>
  </si>
  <si>
    <t xml:space="preserve">Récidive</t>
  </si>
  <si>
    <t xml:space="preserve">CAV : Cyclophosphamide 1000 + Doxorubicine 45 + Vincristine 1,4 / 21 j</t>
  </si>
  <si>
    <t xml:space="preserve">• Manque dans la bibliothèque (référence : von Pawel 1999 (bras CAV))</t>
  </si>
  <si>
    <t xml:space="preserve">Rythme : J1, tous les 21 jours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CYCLOPHOSPHAMIDE (Endoxan) — 1000 mg/m² — Jours 1 — IV — NaCl 0,9 % 250 ml — 30 min
4. DOXORUBICINE — 45 mg/m² — Jours 1 — IV — NaCl 0,9 % 100 ml — 15 min
5. VINCRISTINE — 1,4 mg/m² — Jours 1 — IV — NaCl 0,9 % 50 ml — 10 min — max 2 mg
Remarques :
- FEVG ; cumul des anthracyclines
Pas dans le protocole (ordonnance de sortie) : EMEND, OLANZAPINE</t>
  </si>
  <si>
    <t xml:space="preserve">von Pawel 1999 (bras CAV)</t>
  </si>
  <si>
    <t xml:space="preserve">N038</t>
  </si>
  <si>
    <t xml:space="preserve">Lurbinectédine 3,2 mg/m² / 21 j</t>
  </si>
  <si>
    <t xml:space="preserve">• Manque dans la bibliothèque (référence : Trigo 2020)</t>
  </si>
  <si>
    <t xml:space="preserve">Rythme : J1, tous les 21 jours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ZEPZELCA (lurbinectédine) — 3,2 mg/m² — Jours 1 — IV (voie centrale) — NaCl 0,9 % 250 ml — 1 h
Remarques :
- G-CSF en prophylaxie secondaire</t>
  </si>
  <si>
    <t xml:space="preserve">Lurbinectédine : PNN ≥ 1,5, plaquettes ≥ 100, bilirubine ≤ 1,5 × N</t>
  </si>
  <si>
    <t xml:space="preserve">Trigo 2020</t>
  </si>
  <si>
    <t xml:space="preserve">Topotécan 1,5 mg/m² J1-J5 / 21 j (standard)</t>
  </si>
  <si>
    <t xml:space="preserve">• G-CSF en texte : ni dose, ni durée → ligne Nivestim structurée (jours et nombre d'injections)
• Corticoïde + sétron pour un schéma à risque émétique faible</t>
  </si>
  <si>
    <t xml:space="preserve">• REMPLACER par : NIVESTIM (filgrastim) 30 MU/0,5 ml — 1 injection SC par jour : 30 MU, 48 MU si poids &gt; 70 kg (unité : texte libre) — Jours 7,8,9,10,11 (libellé « J7 → J11 : 5 injections ») — à domicile (infirmière), dès 24 h après la fin de la chimiothérapie ; si G-CSF décidé — SC (remplace la ligne « NIVESTIM 30 MU (filgrastim) » sans dose ni durée)
• SUPPRIMER : Ligne « SOLUMEDROL » : risque émétique faible, un seul antiémétique suffit (MASCC/ESMO 2023) ; garder l'ONSET (ou l'inverse si tu préfères, mais un seul des deux)</t>
  </si>
  <si>
    <t xml:space="preserve">Chimio – Sous Nivestim : douleurs osseuses et NFS (si G-CSF décidé)</t>
  </si>
  <si>
    <t xml:space="preserve">von Pawel 1999 (CBPC) ; ten Bokkel Huinink 1997 (ovaire)</t>
  </si>
  <si>
    <t xml:space="preserve">Gynécologie › Ovaire / trompe / péritoine › Récidive / métastatique</t>
  </si>
  <si>
    <t xml:space="preserve">Mésothéliome pleural</t>
  </si>
  <si>
    <t xml:space="preserve">Carboplatine AUC 5 + Pémétrexed 500 + Bévacizumab 15 mg/kg / 21 j</t>
  </si>
  <si>
    <t xml:space="preserve">• Anti-NK1 absent (modéré haut – carboplatine auc ≥ 5) → ordonnance de sortie
• Pémétrexed : corticoïde seulement J1 (RCP : J-1, J1, J2) → ordonnance de sortie</t>
  </si>
  <si>
    <t xml:space="preserve">Carboplatine : créatinine du jour obligatoire (Calvert, clairance plafonnée à 125 ml/min)
Pémétrexed : DFG ≥ 45 ml/min
Anti-VEGF : TA &lt; 160/100 ; protéinurie &lt; 2 g/24 h (bandelette &lt; 2+) ; pas de chirurgie &lt; 28 jours</t>
  </si>
  <si>
    <t xml:space="preserve">MAPS (Zalcman 2016, avec cisplatine ; carboplatine accepté)</t>
  </si>
  <si>
    <t xml:space="preserve">Nivolumab 360 mg / 21 j + Ipilimumab 1 mg/kg / 6 sem (CheckMate 743)</t>
  </si>
  <si>
    <t xml:space="preserve">CheckMate 743</t>
  </si>
  <si>
    <t xml:space="preserve">Tumeurs du thymus</t>
  </si>
  <si>
    <t xml:space="preserve">CAP (Cyclophosphamide 500 + Doxorubicine 50 + Cisplatine 50 J1) / 21 j (eviQ)</t>
  </si>
  <si>
    <t xml:space="preserve">• Anti-NK1 et olanzapine absents (risque émétique élevé) → ordonnance de sortie
• Phase retardée non couverte : pas de corticoïde J2-J4 après le cisplatine (J1) → ordonnance de sortie
• Hydratation du cisplatine seulement en remarque (pas de lignes NaCl, KCl, MgSO4)
• G-CSF en texte : ni dose, ni durée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</si>
  <si>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
• NOM : « CAP (Cyclophosphamide 500 + Doxorubicine 50 + Cisplatine 50 J1) / 21 j (eviQ) » → « CAP (Cyclophosphamide 500 + Doxorubicine 50 + Cisplatine 50 J1) / 21 j – Loehrer 1994 (CAP) »
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remplacer : « Référence eviQ ID 4612 (thymome avancé) – tous les produits à J1 » → « Référence : Loehrer 1994 (CAP) – thymome avancé – tous les produits à J1 »</t>
  </si>
  <si>
    <t xml:space="preserve">Cisplatine : DFG ≥ 60 ml/min (45-59 : réduire ou carboplatine) ; magnésémie et audition avant chaque cure
Anthracycline : FEVG ≥ 50 % ; cumul doxorubicine ≤ 450 mg/m² (épirubicine ≤ 900)</t>
  </si>
  <si>
    <t xml:space="preserve">Chimio – Sortie : risque émétique élevé (cisplatine, dacarbazine)
Chimio – Sous Nivestim : douleurs osseuses et NFS (si G-CSF décidé)</t>
  </si>
  <si>
    <t xml:space="preserve">Loehrer 1994 (CAP)</t>
  </si>
  <si>
    <t xml:space="preserve">CAP fractionné : Cisplatine 30 J1-J3 + Doxorubicine 50 + Cyclophosphamide 500 / 21 j (HGC)</t>
  </si>
  <si>
    <t xml:space="preserve">• Anti-NK1 et olanzapine absents (risque émétique élevé) → ordonnance de sortie
• Cisplatine multi-jours : corticoïde non prolongé après la dernière dose → ordonnance de sortie
• Hydratation du cisplatine seulement en remarque (pas de lignes NaCl, KCl, MgSO4)
• G-CSF en texte : ni dose, ni durée → ligne Nivestim structurée (jours et nombre d'injections)
• Solumedrol en mg/kg → Harmoniser (dose fixe)</t>
  </si>
  <si>
    <t xml:space="preserve">• REMPLACER par : NIVESTIM (filgrastim) 30 MU/0,5 ml — 1 injection SC par jour : 30 MU, 48 MU si poids &gt; 70 kg (unité : texte libre) — Jours 5,6,7,8,9 (libellé « J5 → J9 : 5 injections ») — à domicile (infirmière), dès 24 h après la fin de la chimiothérapie ; si G-CSF décidé — SC (remplace la ligne « NIVESTIM 30 MU (filgrastim) » sans dose ni durée)
• AJOUTER la ligne : HYDRATATION AVANT CISPLATINE : NaCl 0,9 % — 500 ml + KCl 1,5 g + MgSO4 2 g (unité : texte libre) — Jours 1,2,3 — en 1 h, avant le cisplatine — IV
• AJOUTER la ligne : HYDRATATION APRÈS CISPLATINE : NaCl 0,9 % — 500 ml (unité : texte libre) — Jours 1,2,3 — en 1 h, après le cisplatine ; diurèse ≥ 100 ml/h — IV</t>
  </si>
  <si>
    <t xml:space="preserve">Chimio – Sortie : cisplatine sur plusieurs jours (BEP, EP, VIP…)
Chimio – Sous Nivestim : douleurs osseuses et NFS (si G-CSF décidé)</t>
  </si>
  <si>
    <t xml:space="preserve">Variante locale</t>
  </si>
  <si>
    <t xml:space="preserve">Cisplatine 60 J1 + Étoposide 120 J1-J3 / 21 j (thymus)</t>
  </si>
  <si>
    <t xml:space="preserve">• Anti-NK1 et olanzapine absents (risque émétique élevé) → ordonnance de sortie
• Hydratation du cisplatine seulement en remarque (pas de lignes NaCl, KCl, MgSO4)</t>
  </si>
  <si>
    <t xml:space="preserve">Giaccone 1996 (EORTC)</t>
  </si>
  <si>
    <t xml:space="preserve">N095</t>
  </si>
  <si>
    <t xml:space="preserve">Rein</t>
  </si>
  <si>
    <t xml:space="preserve">Avélumab 800 J1-J15 + Axitinib 5 mg × 2/j / 28 j</t>
  </si>
  <si>
    <t xml:space="preserve">• Manque dans la bibliothèque (référence : JAVELIN Renal 101)</t>
  </si>
  <si>
    <t xml:space="preserve">Rythme : Avélumab J1 et J15 ; axitinib en continu
1. POLARAMINE (dexchlorphéniramine) 5 mg/1 ml inj. — 5 mg (dose fixe) — Jours 1,15 — avant l'avélumab (4 premières perfusions au moins) — IV lente
2. PARACÉTAMOL 1 g cp — 1000 mg (dose fixe) — Jours 1,15 — 30 min avant la perfusion — Per os
3. BAVENCIO (avélumab) — 800 mg (dose fixe) — Jours 1,15 — IV — NaCl 0,9 % 250 ml — 60 min
4. INLYTA (axitinib) 5 mg cp — 5 mg (dose fixe) — Jours 1 (libellé « J1 → J28 (continu) ») — matin et soir — Per os — 28 jours
Remarques :
- TA, TSH</t>
  </si>
  <si>
    <t xml:space="preserve">JAVELIN Renal 101</t>
  </si>
  <si>
    <t xml:space="preserve">N039</t>
  </si>
  <si>
    <t xml:space="preserve">Axitinib 5 mg × 2/j (monothérapie)</t>
  </si>
  <si>
    <t xml:space="preserve">• Manque dans la bibliothèque (référence : AXIS)</t>
  </si>
  <si>
    <t xml:space="preserve">Rythme : Matin et soir en continu
1. INLYTA (axitinib) 5 mg cp — 5 mg (dose fixe) — Jours 1 (libellé « J1 → J28 (continu) ») — matin et soir ; montée à 7 puis 10 mg × 2 si bonne tolérance — Per os — 28 jours
Remarques :
- TA, protéinurie, TSH</t>
  </si>
  <si>
    <t xml:space="preserve">AXIS</t>
  </si>
  <si>
    <t xml:space="preserve">N097</t>
  </si>
  <si>
    <t xml:space="preserve">Belzutifan 120 mg/j</t>
  </si>
  <si>
    <t xml:space="preserve">• Manque dans la bibliothèque (référence : LITESPARK-005)</t>
  </si>
  <si>
    <t xml:space="preserve">Rythme : En continu
1. WELIREG (belzutifan) 40 mg cp — 120 mg (dose fixe) — Jours 1 (libellé « J1 → J28 (continu) ») — Per os — 28 jours
Remarques :
- Hb (anémie), saturation (hypoxie) ; contraception</t>
  </si>
  <si>
    <t xml:space="preserve">LITESPARK-005</t>
  </si>
  <si>
    <t xml:space="preserve">N096</t>
  </si>
  <si>
    <t xml:space="preserve">Lenvatinib 18 mg + Évérolimus 5 mg/j</t>
  </si>
  <si>
    <t xml:space="preserve">• Manque dans la bibliothèque (référence : Motzer 2015)</t>
  </si>
  <si>
    <t xml:space="preserve">Rythme : En continu
1. LENVIMA (lenvatinib) — 18 mg (dose fixe) — Jours 1 (libellé « J1 → J28 (continu) ») — Per os — 28 jours
2. ÉVÉROLIMUS (Afinitor) 5 mg cp — 5 mg (dose fixe) — Jours 1 (libellé « J1 → J28 (continu) ») — Per os — 28 jours
Remarques :
- TA, protéinurie, glycémie</t>
  </si>
  <si>
    <t xml:space="preserve">Motzer 2015</t>
  </si>
  <si>
    <t xml:space="preserve">Nivolumab 3 mg/kg + Ipilimumab 1 mg/kg / 21 j × 4 (CheckMate 214)</t>
  </si>
  <si>
    <t xml:space="preserve">• Doublon de [101] (mêmes molécules, mêmes doses, même cycle)</t>
  </si>
  <si>
    <t xml:space="preserve">• SUPPRIMER LE PROTOCOLE : après avoir ajouté ses indications dans [101] (elles sont listées sur la ligne de [101])</t>
  </si>
  <si>
    <t xml:space="preserve">CheckMate 214</t>
  </si>
  <si>
    <t xml:space="preserve">Nivolumab 480 mg / 28 j + Cabozantinib 40 mg/j (CheckMate 9ER)</t>
  </si>
  <si>
    <t xml:space="preserve">CheckMate 9ER</t>
  </si>
  <si>
    <t xml:space="preserve">Pembrolizumab + Axitinib</t>
  </si>
  <si>
    <t xml:space="preserve">• REMARQUE à remplacer : « Conforme aux doses eviQ (KEYNOTE-426) ; axitinib augmentable à 7 puis 10 mg × 2/j si bonne tolérance » → « Doses conformes à : KEYNOTE-426 ; axitinib augmentable à 7 puis 10 mg × 2/j si bonne tolérance »</t>
  </si>
  <si>
    <t xml:space="preserve">Immunothérapie : TSH, transaminases, créatinine, glycémie avant chaque cure ; toxicité immunologique de grade ≥ 2 → suspendre</t>
  </si>
  <si>
    <t xml:space="preserve">KEYNOTE-426</t>
  </si>
  <si>
    <t xml:space="preserve">Pembrolizumab 200 / 21 j + Lenvatinib 20 mg/j</t>
  </si>
  <si>
    <t xml:space="preserve">CLEAR (rein) ; KEYNOTE-775 (endomètre)</t>
  </si>
  <si>
    <t xml:space="preserve">Gynécologie › Endomètre › Récidivant / métastatique</t>
  </si>
  <si>
    <t xml:space="preserve">Sarcomes</t>
  </si>
  <si>
    <t xml:space="preserve">Ostéosarcome</t>
  </si>
  <si>
    <t xml:space="preserve">AP : Doxorubicine 25 J1-J3 + Cisplatine 100 J1 / 21 j (référence EOI)</t>
  </si>
  <si>
    <t xml:space="preserve">• Anti-NK1 et olanzapine absents (risque émétique élevé) → ordonnance de sortie
• Hydratation du cisplatine seulement en remarque (pas de lignes NaCl, KCl, MgSO4)
• G-CSF en texte : ni dose, ni durée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</si>
  <si>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5,6,7,8,9 (libellé « J5 → J9 : 5 injections ») — à domicile (infirmière), dès 24 h après la fin de la chimiothérapie ; si G-CSF décidé — SC (remplace la ligne « NIVESTIM 30 MU (filgrastim) » sans dose ni durée)
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remplacer : « Schéma EOI (ostéosarcome) – pas de fiche eviQ dédiée, référence : protocole NCCP/HSE 00420 » → « Schéma EOI (ostéosarcome) – pas de fiche dédiée, référence : protocole NCCP/HSE 00420 »</t>
  </si>
  <si>
    <t xml:space="preserve">EOI (Bramwell 1992 ; Souhami 1997)</t>
  </si>
  <si>
    <t xml:space="preserve">Sarcomes › Ostéosarcome › Récidive / métastatique</t>
  </si>
  <si>
    <t xml:space="preserve">Doxorubicine 25 J1-J3 + Cisplatine 30 J1-J3 / 21 j (HGC)</t>
  </si>
  <si>
    <t xml:space="preserve">• Anti-NK1 et olanzapine absents (risque émétique élevé) → ordonnance de sortie
• Cisplatine multi-jours : corticoïde non prolongé après la dernière dose → ordonnance de sortie
• Hydratation du cisplatine seulement en remarque (pas de lignes NaCl, KCl, MgSO4)
• G-CSF en texte : ni dose, ni durée → ligne Nivestim structurée (jours et nombre d'injections)</t>
  </si>
  <si>
    <t xml:space="preserve">MAP (EURAMOS) : Cisplatine + Doxorubicine J1-J2, Méthotrexate HD J22 et J29 / 35 j</t>
  </si>
  <si>
    <t xml:space="preserve">• Sauvetage par acide folinique en texte libre (pas de dose, pas d'horaire) après méthotrexate 12 g/m² → Structurer le sauvetage (ex. 15 mg/m² toutes les 6 h à partir de H24, adapté à la méthotrexatémie) et l'hyperhydratation alcaline en lignes prescrites
• Anti-NK1 et olanzapine absents (risque émétique élevé) → ordonnance de sortie
• Cisplatine multi-jours : corticoïde non prolongé après la dernière dose → ordonnance de sortie
• Hydratation du cisplatine seulement en remarque (pas de lignes NaCl, KCl, MgSO4)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</si>
  <si>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4,5,6,7,8 (libellé « J4 → J8 : 5 injections ») — à domicile (infirmière), dès 24 h après la fin de la chimiothérapie ; si G-CSF décidé — SC (remplace la ligne « NIVESTIM 30 MU (filgrastim) » sans dose ni durée)
• REMPLACER par : ACIDE FOLINIQUE (folinate de calcium) – sauvetage — 15 mg/m² IV puis per os toutes les 6 h, de H24 jusqu'à méthotrexatémie &lt; 0,2 µmol/L (au moins 10 prises) (unité : texte libre) — Jours 23,30 (libellé « H24 après chaque méthotrexate ») — IV / per os (remplace la ligne en texte libre)
• AJOUTER la ligne : HYDRATATION AVANT CISPLATINE : NaCl 0,9 % — 1000 ml + KCl 1,5 g + MgSO4 2 g (unité : texte libre) — Jours 1,2 — en 1 h, avant le cisplatine — IV
• AJOUTER la ligne : HYDRATATION APRÈS CISPLATINE : NaCl 0,9 % — 1000 ml (unité : texte libre) — Jours 1,2 — en 1 h, après le cisplatine ; diurèse ≥ 100 ml/h — IV
• AJOUTER la ligne : HYPERHYDRATATION ALCALINE — 3 L/m²/24 h (G5 % + bicarbonate de sodium + KCl), de H-12 jusqu'à méthotrexatémie &lt; 0,2 µmol/L ; pH urinaire &gt; 7 (unité : texte libre) — Jours 22,29 — IV
• REMARQUE à ajouter : Méthotrexatémie à H24, H48, H72 ; glucarpidase si élimination retardée ; pas d'AINS, d'IPP ni de cotrimoxazole</t>
  </si>
  <si>
    <t xml:space="preserve">Cisplatine : DFG ≥ 60 ml/min (45-59 : réduire ou carboplatine) ; magnésémie et audition avant chaque cure
Anthracycline : FEVG ≥ 50 % ; cumul doxorubicine ≤ 450 mg/m² (épirubicine ≤ 900)
Méthotrexate : DFG ≥ 60 ml/min ; pas d'épanchement (3e secteur)</t>
  </si>
  <si>
    <t xml:space="preserve">EURAMOS-1</t>
  </si>
  <si>
    <t xml:space="preserve">Cyclophosphamide 500 + Étoposide 100 J1-J5 / 21 j</t>
  </si>
  <si>
    <t xml:space="preserve">• G-CSF en texte : ni dose, ni durée → ligne Nivestim structurée (jours et nombre d'injections)
• Cyclophosphamide 500 + étoposide 100 J1-J5 : référence non retrouvée → Indiquer la source</t>
  </si>
  <si>
    <t xml:space="preserve">• REMPLACER par : NIVESTIM (filgrastim) 30 MU/0,5 ml — 1 injection SC par jour : 30 MU, 48 MU si poids &gt; 70 kg (unité : texte libre) — Jours 7,8,9,10,11 (libellé « J7 → J11 : 5 injections ») — à domicile (infirmière), dès 24 h après la fin de la chimiothérapie ; si G-CSF décidé — SC (remplace la ligne « NIVESTIM 30 MU (filgrastim) » sans dose ni durée)</t>
  </si>
  <si>
    <t xml:space="preserve">Chimio – Sortie : risque émétique modéré (oxaliplatine, irinotécan…)
Chimio – Sous Nivestim : douleurs osseuses et NFS (si G-CSF décidé)</t>
  </si>
  <si>
    <t xml:space="preserve">Référence à préciser (Berger 2009 : cyclophosphamide 4 g/m² + étoposide)</t>
  </si>
  <si>
    <t xml:space="preserve">Ifosfamide 1800 + Étoposide 100 J1-J5 / 21 j</t>
  </si>
  <si>
    <t xml:space="preserve">• G-CSF en texte : ni dose, ni durée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</si>
  <si>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7,8,9,10,11 (libellé « J7 → J11 : 5 injections ») — à domicile (infirmière), dès 24 h après la fin de la chimiothérapie ; si G-CSF décidé — SC (remplace la ligne « NIVESTIM 30 MU (filgrastim) » sans dose ni durée)
• REMARQUE à remplacer : « Référence eviQ (Ewing / ostéosarcome) ; votre fiche HGC (ifosfamide 3000 + étoposide 100 J1-J3) n’est pas fractionnée : remplacée » → « Référence : Schéma usuel de rechute (Euro-EWING) – Ewing / ostéosarcome ; votre fiche HGC (ifosfamide 3000 + étoposide 100 J1-J3) n’est pas fractionnée : remplacée »</t>
  </si>
  <si>
    <t xml:space="preserve">Ifosfamide : DFG ≥ 60 ml/min, hématurie absente ; encéphalopathie → arrêt</t>
  </si>
  <si>
    <t xml:space="preserve">Schéma usuel de rechute (Euro-EWING)</t>
  </si>
  <si>
    <t xml:space="preserve">Sarcomes › Sarcome d'Ewing › Récidive / métastatique</t>
  </si>
  <si>
    <t xml:space="preserve">Sarcome d'Ewing</t>
  </si>
  <si>
    <t xml:space="preserve">VDC / IE alternés (Ewing)</t>
  </si>
  <si>
    <t xml:space="preserve">• Anti-NK1 et olanzapine absents (risque émétique élevé) → ordonnance de sortie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</si>
  <si>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4,5,6,7,8,28,29,30,31,32 (libellé « J4 → J8 et J28 → J32 : 5 + 5 = 10 injections ») — à domicile (infirmière), dès 24 h après la fin de la chimiothérapie ; si G-CSF décidé — SC (remplace la ligne « NIVESTIM 30 MU (filgrastim) » sans dose ni durée)</t>
  </si>
  <si>
    <t xml:space="preserve">Anthracycline : FEVG ≥ 50 % ; cumul doxorubicine ≤ 450 mg/m² (épirubicine ≤ 900)
Ifosfamide : DFG ≥ 60 ml/min, hématurie absente ; encéphalopathie → arrêt</t>
  </si>
  <si>
    <t xml:space="preserve">Chimio – Sortie : AC (anthracycline + cyclophosphamide)
Chimio – Sous Nivestim : douleurs osseuses et NFS (si G-CSF décidé)</t>
  </si>
  <si>
    <t xml:space="preserve">AEWS0031 (Womer 2012) ; Euro EWING 2012 (Brennan 2022)</t>
  </si>
  <si>
    <t xml:space="preserve">Irinotécan 50 + Témozolomide 100 J1-J5 / 21 j</t>
  </si>
  <si>
    <t xml:space="preserve">• Irinotécan : atropine non prévue (syndrome cholinergique)</t>
  </si>
  <si>
    <t xml:space="preserve">• AJOUTER la ligne : ATROPINE 0,25 mg/1 ml inj. — 0,25 mg SC si syndrome cholinergique (sueurs, crampes, diarrhée précoce, larmoiement) (unité : texte libre) — Jours 1,2,3,4,5 — SC
• REMARQUE à ajouter : Ordonnance de sortie « Chimio – Irinotécan : diarrhée retardée » remise à chaque cure (lopéramide)</t>
  </si>
  <si>
    <t xml:space="preserve">Raciborska 2013 ; rEECur</t>
  </si>
  <si>
    <t xml:space="preserve">Topotécan 0,75 + Cyclophosphamide 250 J1-J5 / 21 j</t>
  </si>
  <si>
    <t xml:space="preserve">Hunold 2006 ; rEECur</t>
  </si>
  <si>
    <t xml:space="preserve">Tissus mous</t>
  </si>
  <si>
    <t xml:space="preserve">Avancé / métastatique / récidive</t>
  </si>
  <si>
    <t xml:space="preserve">AI 3 jours : Doxorubicine 60 + Ifosfamide 2500 J1-J3 / 21 j (HGC)</t>
  </si>
  <si>
    <t xml:space="preserve">• « BICARBONATE 14 ‰ 500 mg » : l'unité est probablement 500 ml → Corriger l'unité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</si>
  <si>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5,6,7,8,9 (libellé « J5 → J9 : 5 injections ») — à domicile (infirmière), dès 24 h après la fin de la chimiothérapie ; si G-CSF décidé — SC (remplace la ligne « NIVESTIM 30 MU (filgrastim) » sans dose ni durée)
• MODIFIER : BICARBONATE DE SODIUM 14 ‰ — 500 ml (unité : texte libre) — Jours 1,2,3 — IV (remplace « BICARBONATE 14 ‰ 500 mg »)
• À VÉRIFIER : « OEDES (furosémide) » : dans les ordonnances types, OEDES est l'oméprazole ; vérifier la marque du furosémide (ex. LASILIX)</t>
  </si>
  <si>
    <t xml:space="preserve">Variante locale (AI sur 3 jours)</t>
  </si>
  <si>
    <t xml:space="preserve">N040</t>
  </si>
  <si>
    <t xml:space="preserve">Doxorubicine 60 + Trabectédine 1,1 mg/m² / 21 j × 6 (léiomyosarcome)</t>
  </si>
  <si>
    <t xml:space="preserve">• Manque dans la bibliothèque (référence : LMS-04 (Pautier 2022))</t>
  </si>
  <si>
    <t xml:space="preserve">Rythme : J1, tous les 21 jours × 6, puis trabectédine seule
1. ONSET (ondansétron) 8 mg/4 ml inj. — 8 mg (dose fixe) — Jours 1 — 30 min avant la chimiothérapie — IV — NaCl 0,9 % 50 ml — 15 min
2. SOLUMEDROL (méthylprednisolone) inj. — 100 mg (dose fixe) — Jours 1 — 30 min avant (obligatoire avec la trabectédine) — IV — NaCl 0,9 % 50 ml — 15 min
3. DOXORUBICINE — 60 mg/m² — Jours 1 — IV — NaCl 0,9 % 100 ml — 15 min
4. YONDELIS (trabectédine) — 1,1 mg/m² — Jours 1 — IV (voie centrale) — NaCl 0,9 % 500 ml — 3 h
5. NIVESTIM (filgrastim) 30 MU/0,5 ml — 1 injection SC par jour : 30 MU, 48 MU si poids &gt; 70 kg (unité : texte libre) — Jours 3,4,5,6,7 (libellé « J3 → J7 : 5 injections ») — à domicile (infirmière), dès 24 h après la fin de la chimiothérapie — SC
Remarques :
- G-CSF à chaque cure (pegfilgrastim dans l'essai)</t>
  </si>
  <si>
    <t xml:space="preserve">Chimio – Sortie : risque émétique modéré (oxaliplatine, irinotécan…)
Chimio – Sous Nivestim : douleurs osseuses et NFS</t>
  </si>
  <si>
    <t xml:space="preserve">LMS-04 (Pautier 2022)</t>
  </si>
  <si>
    <t xml:space="preserve">Doxorubicine 60 J1 + Dacarbazine 187,5 J1-J4 / 21 j (HGC)</t>
  </si>
  <si>
    <t xml:space="preserve">• Anti-NK1 et olanzapine absents (risque émétique élevé) → ordonnance de sortie
• Phase retardée non couverte : pas de corticoïde J2-J4 après le cisplatine (J4) → ordonnance de sortie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</si>
  <si>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6,7,8,9,10 (libellé « J6 → J10 : 5 injections ») — à domicile (infirmière), dès 24 h après la fin de la chimiothérapie ; si G-CSF décidé — SC (remplace la ligne « NIVESTIM 30 MU (filgrastim) » sans dose ni durée)
• MODIFIER : SOLUMEDROL 80 mg → 60 mg les jours de l'aprépitant (J1,2,3,4) : interaction, RCP Emend (−25 % en IV)</t>
  </si>
  <si>
    <t xml:space="preserve">D'Ambrosio 2020 (léiomyosarcome)</t>
  </si>
  <si>
    <t xml:space="preserve">N098</t>
  </si>
  <si>
    <t xml:space="preserve">Gemcitabine 1800 + Dacarbazine 500 / 14 j</t>
  </si>
  <si>
    <t xml:space="preserve">• Manque dans la bibliothèque (référence : García-del-Muro 2011)</t>
  </si>
  <si>
    <t xml:space="preserve">Rythme : J1 et J15, tous les 28 jours
1. ONSET (ondansétron) 8 mg/4 ml inj. — 8 mg (dose fixe) — Jours 1,15 — 30 min avant la chimiothérapie — IV — NaCl 0,9 % 50 ml — 15 min
2. SOLUMEDROL (méthylprednisolone) inj. — 60 mg (dose fixe) — Jours 1,15 — 30 min avant la chimiothérapie — IV — NaCl 0,9 % 50 ml — 15 min
3. GEMCITABINE — 1800 mg/m² — Jours 1,15 — débit fixe 10 mg/m²/min — IV — NaCl 0,9 % 250 ml — 180 min
4. DACARBAZINE — 500 mg/m² — Jours 1,15 — IV — G5 % 250 ml, à l'abri de la lumière — 20 min
Remarques :
- Dacarbazine : très émétisante
Pas dans le protocole (ordonnance de sortie) : EMEND, SOLUPRED, OLANZAPINE</t>
  </si>
  <si>
    <t xml:space="preserve">García-del-Muro 2011</t>
  </si>
  <si>
    <t xml:space="preserve">Gemcitabine 900 J1-J8 + Docétaxel 75 J8 / 21 j</t>
  </si>
  <si>
    <t xml:space="preserve">• Docétaxel ≥ 60 mg/m² : corticoïde seulement le jour de la perfusion → ordonnance de sortie
• G-CSF en texte : ni dose, ni durée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</si>
  <si>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10,11,12,13,14 (libellé « J10 → J14 : 5 injections ») — à domicile (infirmière), dès 24 h après la fin de la chimiothérapie ; si G-CSF décidé — SC (remplace la ligne « NIVESTIM 30 MU (filgrastim) » sans dose ni durée)
• REMARQUE à remplacer : « Conforme eviQ (sarcome) ; votre fiche HGC » → « Conforme (sarcome) ; votre fiche HGC »</t>
  </si>
  <si>
    <t xml:space="preserve">Docétaxel : bilirubine ≤ normale ; ne pas faire si ASAT/ALAT &gt; 1,5 × N avec PAL &gt; 2,5 × N
Gemcitabine J8/J15 : PNN ≥ 1,0 et plaquettes ≥ 100 → 100 % ; PNN 0,5-1,0 ou plaquettes 50-100 → 75 % ; en dessous, séance non faite</t>
  </si>
  <si>
    <t xml:space="preserve">SARC002 (Maki 2007)</t>
  </si>
  <si>
    <t xml:space="preserve">Sarcomes › Ostéosarcome › Récidive / métastatique
Sarcomes › Sarcome d'Ewing › Récidive / métastatique</t>
  </si>
  <si>
    <t xml:space="preserve">Larotrectinib 100 mg × 2/j</t>
  </si>
  <si>
    <t xml:space="preserve">Drilon 2018 (NTRK)</t>
  </si>
  <si>
    <t xml:space="preserve">Nivolumab 3 mg/kg + Ipilimumab 1 mg/kg / 21 j × 4</t>
  </si>
  <si>
    <t xml:space="preserve">• Regroupe les doublons : [306]</t>
  </si>
  <si>
    <t xml:space="preserve">• INDICATION à ajouter : Rein › Rein › Métastatique (vient de [306])
• À FAIRE : reprendre ici les remarques utiles de [306], puis supprimer [306]
• REMARQUE à ajouter : Sarcome : Alliance A091401 ; rein : CheckMate 214 (puis nivolumab seul)</t>
  </si>
  <si>
    <t xml:space="preserve">Alliance A091401 (D'Angelo 2018)</t>
  </si>
  <si>
    <t xml:space="preserve">Pazopanib 800 mg/j</t>
  </si>
  <si>
    <t xml:space="preserve">PALETTE</t>
  </si>
  <si>
    <t xml:space="preserve">Trabectédine 1,5 mg/m² sur 24 h / 21 j</t>
  </si>
  <si>
    <t xml:space="preserve">• Trabectédine : corticoïde obligatoire équivalent à dexaméthasone 20 mg, soit environ méthylprednisolone 100 mg ; 80 mg prescrits → Monter le Solumedrol à 100 mg (ou documenter la règle locale)</t>
  </si>
  <si>
    <t xml:space="preserve">• MODIFIER : SOLUMEDROL 80 mg → 100 mg (équivalent de la dexaméthasone 20 mg du RCP Yondelis)</t>
  </si>
  <si>
    <t xml:space="preserve">Trabectédine : PNN ≥ 1,5, plaquettes ≥ 100, bilirubine ≤ N, PAL ≤ 2,5 × N, ASAT/ALAT ≤ 2,5 × N, CPK ≤ 2,5 × N</t>
  </si>
  <si>
    <t xml:space="preserve">Demetri 2016 (léiomyosarcome, liposarcome)</t>
  </si>
  <si>
    <t xml:space="preserve">Sarcomes › Liposarcome › Avancé / métastatique</t>
  </si>
  <si>
    <t xml:space="preserve">Doxorubicine 25 J1-J3 + Ifosfamide 2500 J1-J4 / 21 j</t>
  </si>
  <si>
    <t xml:space="preserve">• REMPLACER par : NIVESTIM (filgrastim) 30 MU/0,5 ml — 1 injection SC par jour : 30 MU, 48 MU si poids &gt; 70 kg (unité : texte libre) — Jours 6,7,8,9,10 (libellé « J6 → J10 : 5 injections ») — à domicile (infirmière), dès 24 h après la fin de la chimiothérapie ; si G-CSF décidé — SC (remplace la ligne « NIVESTIM 30 MU (filgrastim) » sans dose ni durée)
• REMARQUE à remplacer : « Référence eviQ (ifosfamide 10 g/m² par cycle) » → « Référence : EORTC 62012 (doxorubicine 75 + ifosfamide 10 g/m²) – ifosfamide 10 g/m² par cycle »</t>
  </si>
  <si>
    <t xml:space="preserve">EORTC 62012 (doxorubicine 75 + ifosfamide 10 g/m²)</t>
  </si>
  <si>
    <t xml:space="preserve">Sarcomes › Tissus mous › Avancé / métastatique / récidive</t>
  </si>
  <si>
    <t xml:space="preserve">Doxorubicine 75 mg/m² / 21 j (sarcome)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</si>
  <si>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
• REMARQUE à remplacer : « Référence eviQ (sarcome des tissus mous) » → « Référence : EORTC 62012 (Judson 2014) – sarcome des tissus mous »</t>
  </si>
  <si>
    <t xml:space="preserve">EORTC 62012 (Judson 2014)</t>
  </si>
  <si>
    <t xml:space="preserve">Sarcomes › Tissus mous › Avancé / métastatique / récidive
Sarcomes › Liposarcome › Avancé / métastatique</t>
  </si>
  <si>
    <t xml:space="preserve">N101</t>
  </si>
  <si>
    <t xml:space="preserve">Tumeur à cellules géantes de l'os</t>
  </si>
  <si>
    <t xml:space="preserve">Non résécable</t>
  </si>
  <si>
    <t xml:space="preserve">Dénosumab 120 mg / 28 j (charge J8 et J15 au C1)</t>
  </si>
  <si>
    <t xml:space="preserve">• Manque dans la bibliothèque (référence : Chawla 2013)
• Créer d'abord la branche : Sarcomes &gt; Tumeur à cellules géantes de l'os &gt; Non résécable</t>
  </si>
  <si>
    <t xml:space="preserve">Rythme : J1 ; J8 et J15 au C1
1. XGEVA (dénosumab) — 120 mg (dose fixe) — Jours 1 — SC
2. XGEVA (dénosumab) – charge — 120 mg (dose fixe) — Jours 8,15 — SC — C1 seule
3. CACIT VITAMINE D3 1000 mg / 880 UI — 1 cp par jour (unité : texte libre) — Jours 1 — Per os
Remarques :
- Calcémie ; bilan dentaire</t>
  </si>
  <si>
    <t xml:space="preserve">Séances hebdomadaires (J8, J15…) : PNN ≥ 1,0 G/L et plaquettes ≥ 75 G/L
Dénosumab : calcémie corrigée ≥ 2,1 mmol/L ; soins dentaires faits</t>
  </si>
  <si>
    <t xml:space="preserve">Chawla 2013</t>
  </si>
  <si>
    <t xml:space="preserve">N099</t>
  </si>
  <si>
    <t xml:space="preserve">Tumeur desmoïde</t>
  </si>
  <si>
    <t xml:space="preserve">Évolutive</t>
  </si>
  <si>
    <t xml:space="preserve">Nirogacestat 150 mg × 2/j</t>
  </si>
  <si>
    <t xml:space="preserve">• Manque dans la bibliothèque (référence : DeFi)
• Créer d'abord la branche : Sarcomes &gt; Tumeur desmoïde &gt; Évolutive</t>
  </si>
  <si>
    <t xml:space="preserve">Rythme : Matin et soir en continu
1. OGSIVEO (nirogacestat) 50 mg cp — 150 mg (dose fixe) — Jours 1 (libellé « J1 → J28 (continu) ») — matin et soir — Per os — 28 jours
Remarques :
- Diarrhée, insuffisance ovarienne</t>
  </si>
  <si>
    <t xml:space="preserve">DeFi</t>
  </si>
  <si>
    <t xml:space="preserve">N100</t>
  </si>
  <si>
    <t xml:space="preserve">Sorafénib 400 mg/j (tumeur desmoïde)</t>
  </si>
  <si>
    <t xml:space="preserve">• Manque dans la bibliothèque (référence : Gounder 2018)
• Créer d'abord la branche : Sarcomes &gt; Tumeur desmoïde &gt; Évolutive</t>
  </si>
  <si>
    <t xml:space="preserve">Rythme : 1 prise par jour
1. NEXAVAR (sorafénib) 200 mg cp — 400 mg (dose fixe) — Jours 1 (libellé « J1 → J28 (continu) ») — 2 cp en 1 prise, à distance des repas — Per os — 28 jours
Remarques :
- TA, syndrome mains-pieds</t>
  </si>
  <si>
    <t xml:space="preserve">Gounder 2018</t>
  </si>
  <si>
    <t xml:space="preserve">Sein</t>
  </si>
  <si>
    <t xml:space="preserve">Localisé – adjuvant</t>
  </si>
  <si>
    <t xml:space="preserve">HER2+</t>
  </si>
  <si>
    <t xml:space="preserve">Docétaxel 75 + Trastuzumab / 21 j</t>
  </si>
  <si>
    <t xml:space="preserve">• Docétaxel ≥ 60 mg/m² : corticoïde seulement le jour de la perfusion → ordonnance de sortie
• Docétaxel + trastuzumab × 4 en adjuvant sans anthracycline ni carboplatine : pas de schéma de référence → Proposer TCH (BCIRG 006) ou paclitaxel hebdo + trastuzumab (APT, déjà [60])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</si>
  <si>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
• REMARQUE à ajouter : Hors référentiel en adjuvant : préférer TCH (à créer) ou paclitaxel hebdo + trastuzumab [60]</t>
  </si>
  <si>
    <t xml:space="preserve">Docétaxel : bilirubine ≤ normale ; ne pas faire si ASAT/ALAT &gt; 1,5 × N avec PAL &gt; 2,5 × N
Trastuzumab : FEVG ≥ 50 % (échographie tous les 3 mois) ; arrêt si baisse ≥ 10 points sous 50 %</t>
  </si>
  <si>
    <t xml:space="preserve">Pas d'essai exact ; références : BCIRG 006 (TCH), APT (paclitaxel hebdo + trastuzumab), FinHer</t>
  </si>
  <si>
    <t xml:space="preserve">N102</t>
  </si>
  <si>
    <t xml:space="preserve">Nératinib 240 mg/j pendant 1 an (après trastuzumab)</t>
  </si>
  <si>
    <t xml:space="preserve">• Manque dans la bibliothèque (référence : ExteNET ; CONTROL)</t>
  </si>
  <si>
    <t xml:space="preserve">Rythme : 1 prise par jour en continu, 1 an
1. NERLYNX (nératinib) 40 mg cp — 240 mg (dose fixe) — Jours 1 (libellé « J1 → J28 (continu) ») — 6 cp en 1 prise au repas ; escalade possible 120 → 160 → 240 mg les 2 premières semaines — Per os — 28 jours
2. LOPERIUM (lopéramide) 2 mg — 4 mg à la 1re prise puis 2 mg toutes les 4 h les 2 premières semaines (prévention) (unité : texte libre) — Jours 1 — Per os
Remarques :
- Diarrhée : prévention obligatoire</t>
  </si>
  <si>
    <t xml:space="preserve">ExteNET ; CONTROL</t>
  </si>
  <si>
    <t xml:space="preserve">N042</t>
  </si>
  <si>
    <t xml:space="preserve">Paclitaxel 80 + Trastuzumab hebdomadaires (4 puis 2 mg/kg) / 21 j</t>
  </si>
  <si>
    <t xml:space="preserve">• Manque dans la bibliothèque (référence : APT (Tolaney 2015))</t>
  </si>
  <si>
    <t xml:space="preserve">Rythme : J1, J8, J15 – tous les 21 jours × 4 (12 semaines), puis trastuzumab toutes les 3 semaines
1. POLARAMINE (dexchlorphéniramine) 5 mg/1 ml inj. — 5 mg (dose fixe) — Jours 1,8,15 — 30 min avant la perfusion — IV lente
2. SOLUMEDROL (méthylprednisolone) inj. — 80 mg (dose fixe) — Jours 1,8,15 — 30 min avant la chimiothérapie — IV — NaCl 0,9 % 50 ml — 15 min
3. ONSET (ondansétron) 8 mg/4 ml inj. — 8 mg (dose fixe) — Jours 1,8,15 — 30 min avant la chimiothérapie — IV — NaCl 0,9 % 50 ml — 15 min
4. HERCEPTIN (trastuzumab) – charge — 4 mg/kg — Jours 1 — IV — NaCl 0,9 % 250 ml — 90 min — C1 seule
5. HERCEPTIN (trastuzumab) — 2 mg/kg — Jours 1 — IV — NaCl 0,9 % 250 ml — 30 min — sauf C1
6. HERCEPTIN (trastuzumab) — 2 mg/kg — Jours 8,15 — IV — NaCl 0,9 % 250 ml — 30 min
7. PACLITAXEL — 80 mg/m² — Jours 1,8,15 — IV — NaCl 0,9 % 250 ml, filtre 0,22 µm — 1 h
Remarques :
- FEVG tous les 3 mois</t>
  </si>
  <si>
    <t xml:space="preserve">Séances hebdomadaires (J8, J15…) : PNN ≥ 1,0 G/L et plaquettes ≥ 75 G/L
Paclitaxel : bilirubine ≤ 1,5 × N ; neuropathie de grade ≥ 2 → réduire
Trastuzumab : FEVG ≥ 50 % (échographie tous les 3 mois) ; arrêt si baisse ≥ 10 points sous 50 %</t>
  </si>
  <si>
    <t xml:space="preserve">APT (Tolaney 2015)</t>
  </si>
  <si>
    <t xml:space="preserve">Sein › Sein › Localisé – néoadjuvant › HER2+</t>
  </si>
  <si>
    <t xml:space="preserve">Paclitaxel 80 hebdo + Trastuzumab / 21 j</t>
  </si>
  <si>
    <t xml:space="preserve">T-DM1 (Kadcyla)</t>
  </si>
  <si>
    <t xml:space="preserve">• SUPPRIMER : Ligne « SOLUMEDROL » : risque émétique faible, un seul antiémétique suffit (MASCC/ESMO 2023) ; garder l'ONSET (ou l'inverse si tu préfères, mais un seul des deux)
• REMARQUE à remplacer : « Conforme aux doses eviQ » → « Doses conformes à : EMILIA (métastatique) »</t>
  </si>
  <si>
    <t xml:space="preserve">EMILIA (métastatique) ; KATHERINE (post-néoadjuvant)</t>
  </si>
  <si>
    <t xml:space="preserve">Sein › Sein › Métastatique › HER2+</t>
  </si>
  <si>
    <t xml:space="preserve">N003</t>
  </si>
  <si>
    <t xml:space="preserve">TCH : Docétaxel 75 + Carboplatine AUC 6 + Trastuzumab / 21 j × 6</t>
  </si>
  <si>
    <t xml:space="preserve">• Manque dans la bibliothèque (référence : BCIRG 006 (Slamon 2011))</t>
  </si>
  <si>
    <t xml:space="preserve">Rythme : J1, tous les 21 jours × 6, puis trastuzumab seul jusqu'à 1 an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HERCEPTIN (trastuzumab) — 8/6 mg/kg charge C1 / suite — Jours 1 — IV — NaCl 0,9 % 250 ml — 90 min (C1) puis 30 min
4. DOCÉTAXEL — 75 mg/m² — Jours 1 — IV — NaCl 0,9 % 250 ml — 1 h
5. CARBOPLATINE — AUC 6 — Jours 1 — IV — G5 % 250 ml — 30-60 min
Remarques :
- Trastuzumab au total 1 an (18 administrations)
- FEVG tous les 3 mois
- G-CSF selon le risque (âge, comorbidités)
Pas dans le protocole (ordonnance de sortie) : EMEND, SOLUPRED</t>
  </si>
  <si>
    <t xml:space="preserve">Carboplatine : créatinine du jour obligatoire (Calvert, clairance plafonnée à 125 ml/min)
Docétaxel : bilirubine ≤ normale ; ne pas faire si ASAT/ALAT &gt; 1,5 × N avec PAL &gt; 2,5 × N
Trastuzumab : FEVG ≥ 50 % (échographie tous les 3 mois) ; arrêt si baisse ≥ 10 points sous 50 %</t>
  </si>
  <si>
    <t xml:space="preserve">Chimio – Sortie : carboplatine, Enhertu, Trodelvy
Chimio – Prémédication docétaxel (à prendre à domicile)</t>
  </si>
  <si>
    <t xml:space="preserve">BCIRG 006 (Slamon 2011)</t>
  </si>
  <si>
    <t xml:space="preserve">Trastuzumab + Pertuzumab</t>
  </si>
  <si>
    <t xml:space="preserve">• REMARQUE à remplacer : « Conforme aux doses eviQ » → « Doses conformes à : APHINITY (adjuvant) »</t>
  </si>
  <si>
    <t xml:space="preserve">APHINITY (adjuvant)</t>
  </si>
  <si>
    <t xml:space="preserve">N041</t>
  </si>
  <si>
    <t xml:space="preserve">Trastuzumab sous-cutané 600 mg / 21 j</t>
  </si>
  <si>
    <t xml:space="preserve">• Manque dans la bibliothèque (référence : HannaH)</t>
  </si>
  <si>
    <t xml:space="preserve">Rythme : J1, tous les 21 jours
1. HERCEPTIN SC (trastuzumab) 600 mg/5 ml — 600 mg (dose fixe) — Jours 1 — dans la cuisse, en 2 à 5 min — SC
Remarques :
- Surveillance 6 h à la 1re injection, 2 h ensuite
- FEVG tous les 3 mois</t>
  </si>
  <si>
    <t xml:space="preserve">HannaH</t>
  </si>
  <si>
    <t xml:space="preserve">N004</t>
  </si>
  <si>
    <t xml:space="preserve">RH+ / HER2− – chimiothérapie</t>
  </si>
  <si>
    <t xml:space="preserve">AC 60/600 / 21 j × 4</t>
  </si>
  <si>
    <t xml:space="preserve">• Manque dans la bibliothèque (référence : NSABP B-15 ; NSABP B-31)</t>
  </si>
  <si>
    <t xml:space="preserve">Rythme : J1, tous les 21 jours × 4, puis taxane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DOXORUBICINE — 60 mg/m² — Jours 1 — IV — NaCl 0,9 % 100 ml — 15 min
4. CYCLOPHOSPHAMIDE (Endoxan) — 600 mg/m² — Jours 1 — IV — NaCl 0,9 % 250 ml — 30 min
Remarques :
- FEVG avant la 1re cure
- Suivi par paclitaxel hebdomadaire × 12 ou docétaxel × 4
- G-CSF en prophylaxie secondaire si neutropénie fébrile
Pas dans le protocole (ordonnance de sortie) : EMEND, OLANZAPINE</t>
  </si>
  <si>
    <t xml:space="preserve">NSABP B-15 ; NSABP B-31</t>
  </si>
  <si>
    <t xml:space="preserve">Sein › Sein › Localisé – adjuvant › Triple négatif
Sein › Sein › Localisé – néoadjuvant › RH+ / HER2−
Sein › Sein › Localisé – néoadjuvant › Triple négatif
Sein › Sein › Localisé – adjuvant › HER2+
Sein › Sein › Localisé – néoadjuvant › HER2+</t>
  </si>
  <si>
    <t xml:space="preserve">N005</t>
  </si>
  <si>
    <t xml:space="preserve">AC dose dense 60/600 / 14 j × 4 + G-CSF</t>
  </si>
  <si>
    <t xml:space="preserve">• Manque dans la bibliothèque (référence : CALGB 9741 (Citron 2003))</t>
  </si>
  <si>
    <t xml:space="preserve">Rythme : J1, tous les 14 jours × 4, G-CSF à chaque cure, puis paclitaxel 175 dose dense ou hebdomadaire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DOXORUBICINE — 60 mg/m² — Jours 1 — IV — NaCl 0,9 % 100 ml — 15 min
4. CYCLOPHOSPHAMIDE (Endoxan) — 600 mg/m² — Jours 1 — IV — NaCl 0,9 % 250 ml — 30 min
5. NIVESTIM (filgrastim) 30 MU/0,5 ml — 1 injection SC par jour : 30 MU, 48 MU si poids &gt; 70 kg (unité : texte libre) — Jours 3,4,5,6,7,8,9 (libellé « J3 → J9 : 7 injections ») — à domicile (infirmière), dès 24 h après la fin de la chimiothérapie — SC
Remarques :
- G-CSF obligatoire (dose dense)
- FEVG avant la 1re cure
Pas dans le protocole (ordonnance de sortie) : EMEND, OLANZAPINE</t>
  </si>
  <si>
    <t xml:space="preserve">Chimio – Sortie : AC (anthracycline + cyclophosphamide)
Chimio – Sous Nivestim : douleurs osseuses et NFS</t>
  </si>
  <si>
    <t xml:space="preserve">CALGB 9741 (Citron 2003)</t>
  </si>
  <si>
    <t xml:space="preserve">Sein › Sein › Localisé – adjuvant › Triple négatif
Sein › Sein › Localisé – néoadjuvant › RH+ / HER2−
Sein › Sein › Localisé – néoadjuvant › Triple négatif</t>
  </si>
  <si>
    <t xml:space="preserve">N043</t>
  </si>
  <si>
    <t xml:space="preserve">Paclitaxel 175 dose dense / 14 j × 4 + G-CSF</t>
  </si>
  <si>
    <t xml:space="preserve">• Manque dans la bibliothèque (référence : CALGB 9741)</t>
  </si>
  <si>
    <t xml:space="preserve">Rythme : J1, tous les 14 jours × 4, après AC dose dense
1. POLARAMINE (dexchlorphéniramine) 5 mg/1 ml inj. — 5 mg (dose fixe) — Jours 1 — 30 min avant la perfusion — IV lente
2. SOLUMEDROL (méthylprednisolone) inj. — 100 mg (dose fixe) — Jours 1 — 30 min avant la chimiothérapie — IV — NaCl 0,9 % 50 ml — 15 min
3. PACLITAXEL — 175 mg/m² — Jours 1 — IV — NaCl 0,9 % 500 ml, tubulure sans PVC, filtre 0,22 µm — 3 h
4. NIVESTIM (filgrastim) 30 MU/0,5 ml — 1 injection SC par jour : 30 MU, 48 MU si poids &gt; 70 kg (unité : texte libre) — Jours 3,4,5,6,7,8,9 (libellé « J3 → J9 : 7 injections ») — à domicile (infirmière), dès 24 h après la fin de la chimiothérapie — SC
Remarques :
- G-CSF obligatoire</t>
  </si>
  <si>
    <t xml:space="preserve">Paclitaxel : bilirubine ≤ 1,5 × N ; neuropathie de grade ≥ 2 → réduire</t>
  </si>
  <si>
    <t xml:space="preserve">Chimio – Sous Nivestim : douleurs osseuses et NFS</t>
  </si>
  <si>
    <t xml:space="preserve">CALGB 9741</t>
  </si>
  <si>
    <t xml:space="preserve">Sein › Sein › Localisé – adjuvant › Triple négatif
Sein › Sein › Localisé – néoadjuvant › Triple négatif</t>
  </si>
  <si>
    <t xml:space="preserve">N006</t>
  </si>
  <si>
    <t xml:space="preserve">TC : Docétaxel 75 + Cyclophosphamide 600 / 21 j × 4 à 6</t>
  </si>
  <si>
    <t xml:space="preserve">• Manque dans la bibliothèque (référence : US Oncology 9735 (Jones 2009))</t>
  </si>
  <si>
    <t xml:space="preserve">Rythme : J1, tous les 21 jours × 4 (à 6)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DOCÉTAXEL — 75 mg/m² — Jours 1 — IV — NaCl 0,9 % 250 ml — 1 h
4. CYCLOPHOSPHAMIDE (Endoxan) — 600 mg/m² — Jours 1 — IV — NaCl 0,9 % 250 ml — 30 min
5. NIVESTIM (filgrastim) 30 MU/0,5 ml — 1 injection SC par jour : 30 MU, 48 MU si poids &gt; 70 kg (unité : texte libre) — Jours 3,4,5,6,7 (libellé « J3 → J7 : 5 injections ») — à domicile (infirmière), dès 24 h après la fin de la chimiothérapie — SC
Remarques :
- Risque de neutropénie fébrile 10-20 % : G-CSF recommandé (âge &gt; 65 ans, comorbidités)
- Prémédication docétaxel : SOLUPRED la veille, le jour et le lendemain (ordonnance de sortie)
Pas dans le protocole (ordonnance de sortie) : SOLUPRED</t>
  </si>
  <si>
    <t xml:space="preserve">Chimio – Sortie : risque émétique modéré (oxaliplatine, irinotécan…)
Chimio – Prémédication docétaxel (à prendre à domicile)
Chimio – Sous Nivestim : douleurs osseuses et NFS</t>
  </si>
  <si>
    <t xml:space="preserve">US Oncology 9735 (Jones 2009)</t>
  </si>
  <si>
    <t xml:space="preserve">Sein › Sein › Localisé – adjuvant › Triple négatif</t>
  </si>
  <si>
    <t xml:space="preserve">RH+ / HER2− – hormonothérapie</t>
  </si>
  <si>
    <t xml:space="preserve">Anastrozole 1 mg</t>
  </si>
  <si>
    <t xml:space="preserve">• REMARQUE à remplacer : « Conforme aux doses eviQ » → « Doses conformes à : ATAC »</t>
  </si>
  <si>
    <t xml:space="preserve">ATAC</t>
  </si>
  <si>
    <t xml:space="preserve">Sein › Sein › Métastatique › RH+ / HER2− – hormonothérapie</t>
  </si>
  <si>
    <t xml:space="preserve">Exémestane (Aromasine) 25 mg</t>
  </si>
  <si>
    <t xml:space="preserve">• REMARQUE à remplacer : « Conforme aux doses eviQ » → « Doses conformes à : IES »</t>
  </si>
  <si>
    <t xml:space="preserve">IES ; SOFT/TEXT (avec suppression ovarienne)</t>
  </si>
  <si>
    <t xml:space="preserve">Exémestane 25 mg/j + Goséréline 3,6 mg / 28 j</t>
  </si>
  <si>
    <t xml:space="preserve">SOFT/TEXT</t>
  </si>
  <si>
    <t xml:space="preserve">Létrozole (Lefftara) 2,5 mg</t>
  </si>
  <si>
    <t xml:space="preserve">• Doublon de [35] (mêmes molécules, mêmes doses, même cycle)</t>
  </si>
  <si>
    <t xml:space="preserve">• SUPPRIMER LE PROTOCOLE : après avoir ajouté ses indications dans [35] (elles sont listées sur la ligne de [35])</t>
  </si>
  <si>
    <t xml:space="preserve">BIG 1-98 (adjuvant) ; PO25 (métastatique)</t>
  </si>
  <si>
    <t xml:space="preserve">Létrozole 2,5 mg</t>
  </si>
  <si>
    <t xml:space="preserve">• Mention eviQ dans le nom ou les remarques
• Regroupe les doublons : [34]</t>
  </si>
  <si>
    <t xml:space="preserve">• REMARQUE à remplacer : « Conforme aux doses eviQ » → « Doses conformes à : BIG 1-98 (adjuvant) »
• À FAIRE : reprendre ici les remarques utiles de [34], puis supprimer [34]</t>
  </si>
  <si>
    <t xml:space="preserve">Sein › Sein › Métastatique › RH+ / HER2− – hormonothérapie
Gynécologie › Endomètre › Récidivant / métastatique</t>
  </si>
  <si>
    <t xml:space="preserve">Tamoxifène 20 mg/j</t>
  </si>
  <si>
    <t xml:space="preserve">EBCTCG ; ATLAS (10 ans)</t>
  </si>
  <si>
    <t xml:space="preserve">Tamoxifène 20 mg/j + Goséréline 3,6 mg / 28 j</t>
  </si>
  <si>
    <t xml:space="preserve">SOFT</t>
  </si>
  <si>
    <t xml:space="preserve">RH+ / HER2− – thérapies ciblées</t>
  </si>
  <si>
    <t xml:space="preserve">Abémaciclib 150 mg × 2/j (adjuvant, monarchE)</t>
  </si>
  <si>
    <t xml:space="preserve">monarchE</t>
  </si>
  <si>
    <t xml:space="preserve">Acide zolédronique 4 mg / 6 mois (adjuvant)</t>
  </si>
  <si>
    <t xml:space="preserve">Acide zolédronique : DFG ; calcémie ; soins dentaires faits</t>
  </si>
  <si>
    <t xml:space="preserve">ABCSG-12 ; méta-analyse EBCTCG 2015 (bisphosphonates)</t>
  </si>
  <si>
    <t xml:space="preserve">Ribociclib 400 mg/j J1-J21 (adjuvant, NATALEE)</t>
  </si>
  <si>
    <t xml:space="preserve">NATALEE</t>
  </si>
  <si>
    <t xml:space="preserve">Triple négatif</t>
  </si>
  <si>
    <t xml:space="preserve">Olaparib 300 mg × 2/j</t>
  </si>
  <si>
    <t xml:space="preserve">• INDICATION à ajouter : Digestif &gt; Pancréas &gt; Métastatique (entretien gBRCA, POLO)</t>
  </si>
  <si>
    <t xml:space="preserve">OlympiA (adjuvant) ; OlympiAD (métastatique)</t>
  </si>
  <si>
    <t xml:space="preserve">Sein › Sein › Localisé – adjuvant › RH+ / HER2− – thérapies ciblées
Sein › Sein › Métastatique › BRCA muté
Gynécologie › Ovaire / trompe / péritoine › Entretien
Urologie › Prostate › Métastatique résistant à la castration</t>
  </si>
  <si>
    <t xml:space="preserve">Pembrolizumab 200 mg</t>
  </si>
  <si>
    <t xml:space="preserve">KEYNOTE-024/042 (poumon), -054/-006 (mélanome), -048 (ORL), -045 (vessie), -564 (rein adjuvant), -177 (CCR MSI), -522 (sein)</t>
  </si>
  <si>
    <t xml:space="preserve">Digestif › Côlon › Métastatique
Digestif › Canal anal › Métastatique
Digestif › Estomac › Métastatique
Digestif › Voies biliaires / vésicule › Avancé / métastatique
Poumon / thorax › CBNPC › Résécable – adjuvant
Poumon / thorax › CBNPC › Métastatique › Sans altération moléculaire
Poumon / thorax › Mésothéliome pleural › Récidive
Poumon / thorax › Tumeurs du thymus › Récidive / métastatique
Tête et cou › VADS › Récidivant / métastatique
Gynécologie › Col de l'utérus › Récidivant / métastatique
Gynécologie › Endomètre › Récidivant / métastatique
Gynécologie › Vulve › Métastatique
Sarcomes › Tissus mous › Avancé / métastatique / récidive
Urologie › Vessie / urothélium › Avancé / métastatique
Rein › Rein › Adjuvant
Mélanome › Mélanome › Adjuvant
Mélanome › Mélanome › Métastatique</t>
  </si>
  <si>
    <t xml:space="preserve">Xeloda monothérapie</t>
  </si>
  <si>
    <t xml:space="preserve">• REMARQUE à remplacer : « Conforme aux doses eviQ ; voies biliaires adjuvant (BILCAP) : 8 cycles » → « Doses conformes à : X-ACT (côlon adjuvant) ; voies biliaires adjuvant (BILCAP) : 8 cycles »</t>
  </si>
  <si>
    <t xml:space="preserve">X-ACT (côlon adjuvant) ; CREATE-X (sein triple négatif résiduel) ; BILCAP (voies biliaires)</t>
  </si>
  <si>
    <t xml:space="preserve">Sein › Sein › Métastatique › RH+ / HER2− – chimiothérapie
Sein › Sein › Métastatique › Triple négatif
Digestif › Côlon › Adjuvant
Digestif › Côlon › Métastatique
Digestif › Voies biliaires / vésicule › Adjuvant</t>
  </si>
  <si>
    <t xml:space="preserve">Localisé – néoadjuvant</t>
  </si>
  <si>
    <t xml:space="preserve">Docétaxel 75 + Trastuzumab + Pertuzumab / 21 j</t>
  </si>
  <si>
    <t xml:space="preserve">• Docétaxel ≥ 60 mg/m² : corticoïde seulement le jour de la perfusion → ordonnance de sortie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</si>
  <si>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</t>
  </si>
  <si>
    <t xml:space="preserve">CLEOPATRA (métastatique) ; NeoSphere (néoadjuvant)</t>
  </si>
  <si>
    <t xml:space="preserve">EC (épirubicine + cyclophosphamide)</t>
  </si>
  <si>
    <t xml:space="preserve">• Anti-NK1 et olanzapine absents (risque émétique élevé) → ordonnance de sortie
• G-CSF en texte : ni dose, ni durée → ligne Nivestim structurée (jours et nombre d'injections)
• Mention eviQ dans le nom ou les remarques
• Solumedrol en mg/kg (1 mg/kg) alors que les autres protocoles sont en dose fixe → Harmoniser (dose fixe)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</si>
  <si>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
• REMARQUE à remplacer : « Conforme aux doses eviQ » → « Doses conformes à : Schéma usuel EC 90/600 (NSABP B-36, EBCTCG) »</t>
  </si>
  <si>
    <t xml:space="preserve">Anthracycline : FEVG ≥ 50 % ; cumul épirubicine ≤ 900 mg/m²</t>
  </si>
  <si>
    <t xml:space="preserve">Schéma usuel EC 90/600 (NSABP B-36, EBCTCG)</t>
  </si>
  <si>
    <t xml:space="preserve">Sein › Sein › Localisé – néoadjuvant › RH+ / HER2−
Sein › Sein › Localisé – adjuvant › HER2+
Sein › Sein › Localisé – adjuvant › Triple négatif
Sein › Sein › Localisé – adjuvant › RH+ / HER2− – chimiothérapie</t>
  </si>
  <si>
    <t xml:space="preserve">EC dose dense</t>
  </si>
  <si>
    <t xml:space="preserve">• Anti-NK1 et olanzapine absents (risque émétique élevé) → ordonnance de sortie
• G-CSF en texte : ni dose, ni durée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</si>
  <si>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
• REMARQUE à remplacer : « Conforme aux doses eviQ » → « Doses conformes à : GIM2 (Del Mastro 2015) »</t>
  </si>
  <si>
    <t xml:space="preserve">GIM2 (Del Mastro 2015) ; méta-analyse EBCTCG dose dense 2019</t>
  </si>
  <si>
    <t xml:space="preserve">Sein › Sein › Localisé – néoadjuvant › Triple négatif
Sein › Sein › Localisé – néoadjuvant › RH+ / HER2−
Sein › Sein › Localisé – adjuvant › HER2+
Sein › Sein › Localisé – adjuvant › Triple négatif
Sein › Sein › Localisé – adjuvant › RH+ / HER2− – chimiothérapie</t>
  </si>
  <si>
    <t xml:space="preserve">Pertuzumab + Trastuzumab + Paclitaxel hebdo</t>
  </si>
  <si>
    <t xml:space="preserve">• AJOUTER la ligne : POLARAMINE (dexchlorphéniramine) 5 mg/1 ml inj. — 5 mg (dose fixe) — Jours 1,8,15 — 30 min avant la perfusion — IV lente
• REMARQUE à remplacer : « Conforme aux doses eviQ » → « Doses conformes à : Dang 2015 (phase II paclitaxel hebdo + PH) »</t>
  </si>
  <si>
    <t xml:space="preserve">Dang 2015 (phase II paclitaxel hebdo + PH) ; CLEOPATRA utilise le docétaxel</t>
  </si>
  <si>
    <t xml:space="preserve">N044</t>
  </si>
  <si>
    <t xml:space="preserve">Pertuzumab-Trastuzumab sous-cutané (Phesgo) / 21 j</t>
  </si>
  <si>
    <t xml:space="preserve">• Manque dans la bibliothèque (référence : FeDeriCa)</t>
  </si>
  <si>
    <t xml:space="preserve">Rythme : J1, tous les 21 jours
1. PHESGO (pertuzumab + trastuzumab) SC — 1200/600 mg charge C1 / suite — Jours 1 — dose = pertuzumab : charge 1200 mg (15 ml) au C1, puis 600 mg (10 ml) — SC — 8 min (C1) puis 5 min
Remarques :
- Surveillance 30 min après la charge, 15 min ensuite
- FEVG tous les 3 mois</t>
  </si>
  <si>
    <t xml:space="preserve">FeDeriCa</t>
  </si>
  <si>
    <t xml:space="preserve">Sein › Sein › Localisé – adjuvant › HER2+
Sein › Sein › Métastatique › HER2+</t>
  </si>
  <si>
    <t xml:space="preserve">N007</t>
  </si>
  <si>
    <t xml:space="preserve">TCHP : Docétaxel 75 + Carboplatine AUC 6 + Trastuzumab + Pertuzumab / 21 j × 6</t>
  </si>
  <si>
    <t xml:space="preserve">• Manque dans la bibliothèque (référence : TRAIN-2 ; TRYPHAENA)</t>
  </si>
  <si>
    <t xml:space="preserve">Rythme : J1, tous les 21 jours × 6, puis trastuzumab ± pertuzumab jusqu'à 1 an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PERJETA (pertuzumab) — 840/420 mg charge C1 / suite — Jours 1 — IV — NaCl 0,9 % 250 ml — 60 min (C1) puis 30 min
4. HERCEPTIN (trastuzumab) — 8/6 mg/kg charge C1 / suite — Jours 1 — IV — NaCl 0,9 % 250 ml — 90 min (C1) puis 30 min
5. DOCÉTAXEL — 75 mg/m² — Jours 1 — IV — NaCl 0,9 % 250 ml — 1 h
6. CARBOPLATINE — AUC 6 — Jours 1 — IV — G5 % 250 ml — 30-60 min
7. NIVESTIM (filgrastim) 30 MU/0,5 ml — 1 injection SC par jour : 30 MU, 48 MU si poids &gt; 70 kg (unité : texte libre) — Jours 3,4,5,6,7 (libellé « J3 → J7 : 5 injections ») — à domicile (infirmière), dès 24 h après la fin de la chimiothérapie — SC
Remarques :
- Diarrhée fréquente : lopéramide sur l'ordonnance de sortie
- FEVG tous les 3 mois
- Surveillance 60 min après pertuzumab et trastuzumab à C1, 30 min ensuite
Pas dans le protocole (ordonnance de sortie) : EMEND, SOLUPRED</t>
  </si>
  <si>
    <t xml:space="preserve">Chimio – Sortie : carboplatine, Enhertu, Trodelvy
Chimio – Prémédication docétaxel (à prendre à domicile)
Chimio – Sous Nivestim : douleurs osseuses et NFS</t>
  </si>
  <si>
    <t xml:space="preserve">TRAIN-2 ; TRYPHAENA</t>
  </si>
  <si>
    <t xml:space="preserve">Sein › Sein › Localisé – adjuvant › HER2+</t>
  </si>
  <si>
    <t xml:space="preserve">Trastuzumab 8 puis 6 mg/kg / 21 j</t>
  </si>
  <si>
    <t xml:space="preserve">HERA ; NSABP B-31 / N9831 (1 an)</t>
  </si>
  <si>
    <t xml:space="preserve">EC 90/600 + Pembrolizumab 200 / 21 j × 4 (KEYNOTE-522, phase 2)</t>
  </si>
  <si>
    <t xml:space="preserve">Anthracycline : FEVG ≥ 50 % ; cumul épirubicine ≤ 900 mg/m²
Immunothérapie : TSH, transaminases, créatinine, glycémie avant chaque cure ; toxicité immunologique de grade ≥ 2 → suspendre</t>
  </si>
  <si>
    <t xml:space="preserve">KEYNOTE-522 (phase EC)</t>
  </si>
  <si>
    <t xml:space="preserve">Paclitaxel + Carboplatine hebdo + Pembrolizumab</t>
  </si>
  <si>
    <t xml:space="preserve">• AJOUTER la ligne : POLARAMINE (dexchlorphéniramine) 5 mg/1 ml inj. — 5 mg (dose fixe) — Jours 1,8,15 — 30 min avant la perfusion — IV lente
• REMARQUE à remplacer : « Conforme aux doses eviQ » → « Doses conformes à : KEYNOTE-522 (phase paclitaxel + carboplatine AUC 1,5 hebdo + pembrolizumab) »</t>
  </si>
  <si>
    <t xml:space="preserve">Séances hebdomadaires (J8, J15…) : PNN ≥ 1,0 G/L et plaquettes ≥ 75 G/L
Carboplatine : créatinine du jour obligatoire (Calvert, clairance plafonnée à 125 ml/min)
Paclitaxel : bilirubine ≤ 1,5 × N ; neuropathie de grade ≥ 2 → réduire
Immunothérapie : TSH, transaminases, créatinine, glycémie avant chaque cure ; toxicité immunologique de grade ≥ 2 → suspendre</t>
  </si>
  <si>
    <t xml:space="preserve">KEYNOTE-522 (phase paclitaxel + carboplatine AUC 1,5 hebdo + pembrolizumab)</t>
  </si>
  <si>
    <t xml:space="preserve">Paclitaxel + Carboplatine hebdo – fractionné (HGC)</t>
  </si>
  <si>
    <t xml:space="preserve">• Doublon de [24] (mêmes molécules, mêmes doses, même cycle)</t>
  </si>
  <si>
    <t xml:space="preserve">• SUPPRIMER LE PROTOCOLE : après avoir ajouté ses indications dans [24] (elles sont listées sur la ligne de [24])</t>
  </si>
  <si>
    <t xml:space="preserve">Variante locale ; proches : GeparSixto (carboplatine AUC 2 hebdo), KEYNOTE-522 (AUC 1,5 hebdo)</t>
  </si>
  <si>
    <t xml:space="preserve">Sein › Sein › Métastatique › RH+ / HER2− – chimiothérapie</t>
  </si>
  <si>
    <t xml:space="preserve">Paclitaxel 80 hebdo + Carboplatine AUC 5 J1 / 21 j</t>
  </si>
  <si>
    <t xml:space="preserve">• MODIFIER : SOLUMEDROL 80 mg → 60 mg les jours de l'aprépitant (J1) : interaction, RCP Emend (−25 % en IV)
• AJOUTER la ligne : POLARAMINE (dexchlorphéniramine) 5 mg/1 ml inj. — 5 mg (dose fixe) — Jours 1,8,15 — 30 min avant la perfusion — IV lente
• REMARQUE à remplacer : « Référence eviQ (néoadjuvant triple négatif, schéma BrighTNess) » → « Référence : KEYNOTE-522 (option carboplatine AUC 5 toutes les 3 semaines) – néoadjuvant triple négatif, schéma BrighTNess »</t>
  </si>
  <si>
    <t xml:space="preserve">KEYNOTE-522 (option carboplatine AUC 5 toutes les 3 semaines) ; BrighTNess</t>
  </si>
  <si>
    <t xml:space="preserve">Paclitaxel hebdomadaire</t>
  </si>
  <si>
    <t xml:space="preserve">• INDICATION à ajouter : Sarcomes &gt; Angiosarcome &gt; Localisé / avancé
• REMARQUE à remplacer : « Conforme aux doses eviQ » → « Doses conformes à : E1199 (Sparano 2008, adjuvant) »</t>
  </si>
  <si>
    <t xml:space="preserve">E1199 (Sparano 2008, adjuvant) ; CALGB 9840 (métastatique)</t>
  </si>
  <si>
    <t xml:space="preserve">Sein › Sein › Localisé – néoadjuvant › RH+ / HER2−
Sein › Sein › Localisé – adjuvant › Triple négatif
Sein › Sein › Localisé – adjuvant › RH+ / HER2− – chimiothérapie
Sein › Sein › Métastatique › RH+ / HER2− – chimiothérapie
Sein › Sein › Métastatique › Triple négatif
Gynécologie › Ovaire / trompe / péritoine › Récidive / métastatique
Urologie › Vessie / urothélium › Avancé / métastatique
Tête et cou › VADS › Récidivant / métastatique</t>
  </si>
  <si>
    <t xml:space="preserve">N103</t>
  </si>
  <si>
    <t xml:space="preserve">BRCA muté</t>
  </si>
  <si>
    <t xml:space="preserve">Talazoparib 1 mg/j</t>
  </si>
  <si>
    <t xml:space="preserve">• Manque dans la bibliothèque (référence : EMBRACA)</t>
  </si>
  <si>
    <t xml:space="preserve">Rythme : 1 prise par jour en continu
1. TALZENNA (talazoparib) 1 mg gél. — 1 mg (dose fixe) — Jours 1 (libellé « J1 → J28 (continu) ») — Per os — 28 jours
Remarques :
- NFS mensuelle (anémie)</t>
  </si>
  <si>
    <t xml:space="preserve">EMBRACA</t>
  </si>
  <si>
    <t xml:space="preserve">Capécitabine 1000 + Trastuzumab / 21 j</t>
  </si>
  <si>
    <t xml:space="preserve">Capécitabine : DFG 30-50 ml/min → 75 % ; &lt; 30 contre-indiquée ; uracilémie (DPD) avant la 1re cure
Trastuzumab : FEVG ≥ 50 % (échographie tous les 3 mois) ; arrêt si baisse ≥ 10 points sous 50 %</t>
  </si>
  <si>
    <t xml:space="preserve">GBG 26 (von Minckwitz 2009)</t>
  </si>
  <si>
    <t xml:space="preserve">Carboplatine hebdo + Trastuzumab – fractionné (HGC)</t>
  </si>
  <si>
    <t xml:space="preserve">• Carboplatine hebdo + trastuzumab : pas d'essai de phase III → Documenter comme variante locale</t>
  </si>
  <si>
    <t xml:space="preserve">• REMARQUE à ajouter : Variante locale HGC : pas d'essai de phase III publié pour ce schéma ; à valider en RCP</t>
  </si>
  <si>
    <t xml:space="preserve">Séances hebdomadaires (J8, J15…) : PNN ≥ 1,0 G/L et plaquettes ≥ 75 G/L
Carboplatine : créatinine du jour obligatoire (Calvert, clairance plafonnée à 125 ml/min)
Trastuzumab : FEVG ≥ 50 % (échographie tous les 3 mois) ; arrêt si baisse ≥ 10 points sous 50 %</t>
  </si>
  <si>
    <t xml:space="preserve">Pas d'essai de référence (phase II seulement)</t>
  </si>
  <si>
    <t xml:space="preserve">Lapatinib + Trastuzumab</t>
  </si>
  <si>
    <t xml:space="preserve">• REMARQUE à remplacer : « Conforme aux doses eviQ » → « Doses conformes à : EGF104900 (Blackwell 2010) »</t>
  </si>
  <si>
    <t xml:space="preserve">EGF104900 (Blackwell 2010)</t>
  </si>
  <si>
    <t xml:space="preserve">Lapatinib 1250 mg/j + Capécitabine 1000 / 21 j</t>
  </si>
  <si>
    <t xml:space="preserve">EGF100151 (Geyer 2006)</t>
  </si>
  <si>
    <t xml:space="preserve">N104</t>
  </si>
  <si>
    <t xml:space="preserve">T-DXd 5,4 mg/kg + Pertuzumab / 21 j (1re ligne)</t>
  </si>
  <si>
    <t xml:space="preserve">• Manque dans la bibliothèque (référence : DESTINY-Breast09)</t>
  </si>
  <si>
    <t xml:space="preserve">Rythme : J1, tous les 21 jours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ENHERTU (trastuzumab déruxtécan) — 5,4 mg/kg — Jours 1 — IV — G5 % 100 ml — 90 min (C1) puis 30 min
4. PERJETA (pertuzumab) — 840/420 mg charge C1 / suite — Jours 1 — IV — NaCl 0,9 % 250 ml — 60 min (C1) puis 30 min
Remarques :
- Scanner thoracique toutes les 6 à 12 semaines (pneumopathie)
Pas dans le protocole (ordonnance de sortie) : EMEND</t>
  </si>
  <si>
    <t xml:space="preserve">DESTINY-Breast09</t>
  </si>
  <si>
    <t xml:space="preserve">Trastuzumab + Pertuzumab – entretien</t>
  </si>
  <si>
    <t xml:space="preserve">• REMARQUE à remplacer : « Conforme aux doses eviQ » → « Doses conformes à : CLEOPATRA / APHINITY (doses d'entretien) »</t>
  </si>
  <si>
    <t xml:space="preserve">CLEOPATRA / APHINITY (doses d'entretien)</t>
  </si>
  <si>
    <t xml:space="preserve">Tucatinib 300 mg × 2/j + Trastuzumab + Capécitabine 1000 / 21 j (HER2CLIMB)</t>
  </si>
  <si>
    <t xml:space="preserve">HER2CLIMB</t>
  </si>
  <si>
    <t xml:space="preserve">Vinorelbine 25 J1-J8 + Trastuzumab / 21 j</t>
  </si>
  <si>
    <t xml:space="preserve">• Corticoïde + sétron pour un schéma à risque émétique minimal</t>
  </si>
  <si>
    <t xml:space="preserve">• SUPPRIMER : Lignes « ONSET » et « SOLUMEDROL » : risque émétique minimal, pas d'antiémétique systématique (MASCC/ESMO 2023) ; CLOPRAME à la demande sur l'ordonnance de sortie</t>
  </si>
  <si>
    <t xml:space="preserve">Séances hebdomadaires (J8, J15…) : PNN ≥ 1,0 G/L et plaquettes ≥ 75 G/L
Trastuzumab : FEVG ≥ 50 % (échographie tous les 3 mois) ; arrêt si baisse ≥ 10 points sous 50 %
Vinorelbine : PNN ≥ 1,5 (J8 : ≥ 1,0)</t>
  </si>
  <si>
    <t xml:space="preserve">HERNATA (Andersson 2011)</t>
  </si>
  <si>
    <t xml:space="preserve">RH+ / HER2− – ADC</t>
  </si>
  <si>
    <t xml:space="preserve">Sacituzumab govitécan (Trodelvy) 10 mg/kg J1-J8 / 21 j</t>
  </si>
  <si>
    <t xml:space="preserve">• Prémédication (paracétamol, anti-H1) seulement en remarque, pas en lignes prescrites ; anti-NK1 non prescrit (risque émétique comparable au carboplatine) → Prescrire paracétamol + anti-H1 et le bloc anti-NK1 + sétron + corticoïde</t>
  </si>
  <si>
    <t xml:space="preserve">• MODIFIER : Retirer la remarque « Prémédication : paracétamol + antihistaminique » (devenue des lignes)
• AJOUTER la ligne : PARACÉTAMOL 1 g cp — 1000 mg (dose fixe) — Jours 1,8 — 30 min avant la perfusion — Per os
• AJOUTER la ligne : POLARAMINE (dexchlorphéniramine) 5 mg/1 ml inj. — 5 mg (dose fixe) — Jours 1,8 — 30 min avant la perfusion — IV lente</t>
  </si>
  <si>
    <t xml:space="preserve">Séances hebdomadaires (J8, J15…) : PNN ≥ 1,0 G/L et plaquettes ≥ 75 G/L
Sacituzumab : PNN ≥ 1,5 à J1 et ≥ 1,0 à J8 ; diarrhée → lopéramide</t>
  </si>
  <si>
    <t xml:space="preserve">ASCENT (triple négatif) ; TROPiCS-02 (RH+)</t>
  </si>
  <si>
    <t xml:space="preserve">Sein › Sein › Métastatique › Triple négatif</t>
  </si>
  <si>
    <t xml:space="preserve">Trastuzumab deruxtecan (Enhertu) 5,4 mg/kg / 21 j</t>
  </si>
  <si>
    <t xml:space="preserve">DESTINY-Breast03 / -04 / -06</t>
  </si>
  <si>
    <t xml:space="preserve">Sein › Sein › Métastatique › HER2+
Sein › Sein › Métastatique › HER2-low / ultralow</t>
  </si>
  <si>
    <t xml:space="preserve">Carboplatine AUC 6 / 21 j (sein)</t>
  </si>
  <si>
    <t xml:space="preserve">TNT (Tutt 2018)</t>
  </si>
  <si>
    <t xml:space="preserve">Carboplatine hebdo + Bévacizumab – fractionné (HGC)</t>
  </si>
  <si>
    <t xml:space="preserve">• Carboplatine hebdo + bévacizumab (sein) : aucune référence ; le bévacizumab n'est validé dans le sein qu'avec le paclitaxel ou la capécitabine → Retirer ou marquer « hors référentiel »</t>
  </si>
  <si>
    <t xml:space="preserve">• SUPPRIMER LE PROTOCOLE : Aucune référence ; le bévacizumab n'est validé dans le sein qu'avec paclitaxel (E2100) ou capécitabine</t>
  </si>
  <si>
    <t xml:space="preserve">Aucune référence (bévacizumab dans le sein : E2100 avec paclitaxel, RIBBON-1)</t>
  </si>
  <si>
    <t xml:space="preserve">N045</t>
  </si>
  <si>
    <t xml:space="preserve">Docétaxel 35 mg/m² J1-J8-J15 / 28 j (hebdomadaire)</t>
  </si>
  <si>
    <t xml:space="preserve">• Manque dans la bibliothèque (référence : Burstein 2000 ; Schuette 2005)</t>
  </si>
  <si>
    <t xml:space="preserve">Rythme : J1, J8, J15 – tous les 28 jours
1. SOLUMEDROL (méthylprednisolone) inj. — 40 mg (dose fixe) — Jours 1,8,15 — 30 min avant la chimiothérapie — IV — NaCl 0,9 % 50 ml — 15 min
2. ONSET (ondansétron) 8 mg/4 ml inj. — 8 mg (dose fixe) — Jours 1,8,15 — 30 min avant la chimiothérapie — IV — NaCl 0,9 % 50 ml — 15 min
3. DOCÉTAXEL — 35 mg/m² — Jours 1,8,15 — IV — NaCl 0,9 % 250 ml — 1 h
Remarques :
- Sujet âgé ou fragile ; corticoïde le jour seulement en hebdomadaire</t>
  </si>
  <si>
    <t xml:space="preserve">Séances hebdomadaires (J8, J15…) : PNN ≥ 1,0 G/L et plaquettes ≥ 75 G/L
Docétaxel : bilirubine ≤ normale ; ne pas faire si ASAT/ALAT &gt; 1,5 × N avec PAL &gt; 2,5 × N</t>
  </si>
  <si>
    <t xml:space="preserve">Burstein 2000 ; Schuette 2005</t>
  </si>
  <si>
    <t xml:space="preserve">Sein › Sein › Métastatique › Triple négatif
Poumon / thorax › CBNPC › Métastatique › 2e ligne</t>
  </si>
  <si>
    <t xml:space="preserve">N105</t>
  </si>
  <si>
    <t xml:space="preserve">Docétaxel 75 + Capécitabine 1000 × 2/j J1-J14 / 21 j</t>
  </si>
  <si>
    <t xml:space="preserve">• Manque dans la bibliothèque (référence : O'Shaughnessy 2002)</t>
  </si>
  <si>
    <t xml:space="preserve">Rythme : Docétaxel J1 ; capécitabine J1 à J14 – tous les 21 jours
1. ONSET (ondansétron) 8 mg/4 ml inj. — 8 mg (dose fixe) — Jours 1 — 30 min avant la chimiothérapie — IV — NaCl 0,9 % 50 ml — 15 min
2. DOCÉTAXEL — 75 mg/m² — Jours 1 — IV — NaCl 0,9 % 250 ml — 1 h
3. CAPÉCITABINE (Xeloda) — 1000 mg/m² — Jours 1 (libellé « J1 → J14 ») — matin et soir — Per os — 14 jours
Remarques :
- Syndrome mains-pieds : crème à l'urée dès J1
Pas dans le protocole (ordonnance de sortie) : SOLUPRED</t>
  </si>
  <si>
    <t xml:space="preserve">Docétaxel : bilirubine ≤ normale ; ne pas faire si ASAT/ALAT &gt; 1,5 × N avec PAL &gt; 2,5 × N
Capécitabine : DFG 30-50 ml/min → 75 % ; &lt; 30 contre-indiquée ; uracilémie (DPD) avant la 1re cure</t>
  </si>
  <si>
    <t xml:space="preserve">Chimio – Prémédication docétaxel (à prendre à domicile)
Chimio – Capécitabine : mains-pieds et diarrhée</t>
  </si>
  <si>
    <t xml:space="preserve">O'Shaughnessy 2002</t>
  </si>
  <si>
    <t xml:space="preserve">N107</t>
  </si>
  <si>
    <t xml:space="preserve">Doxorubicine 20 mg/m² hebdomadaire</t>
  </si>
  <si>
    <t xml:space="preserve">• Manque dans la bibliothèque (référence : Gasparini 1991)</t>
  </si>
  <si>
    <t xml:space="preserve">Rythme : J1, J8, J15, J22 – tous les 28 jours
1. ONSET (ondansétron) 8 mg/4 ml inj. — 8 mg (dose fixe) — Jours 1,8,15,22 — 30 min avant la chimiothérapie — IV — NaCl 0,9 % 50 ml — 15 min
2. SOLUMEDROL (méthylprednisolone) inj. — 40 mg (dose fixe) — Jours 1,8,15,22 — 30 min avant la chimiothérapie — IV — NaCl 0,9 % 50 ml — 15 min
3. DOXORUBICINE — 20 mg/m² — Jours 1,8,15,22 — IV — NaCl 0,9 % 100 ml — 15 min
Remarques :
- FEVG ; cumul ≤ 450 mg/m²</t>
  </si>
  <si>
    <t xml:space="preserve">Séances hebdomadaires (J8, J15…) : PNN ≥ 1,0 G/L et plaquettes ≥ 75 G/L
Anthracycline : FEVG ≥ 50 % ; cumul doxorubicine ≤ 450 mg/m² (épirubicine ≤ 900)</t>
  </si>
  <si>
    <t xml:space="preserve">Gasparini 1991</t>
  </si>
  <si>
    <t xml:space="preserve">Doxorubicine monothérapie</t>
  </si>
  <si>
    <t xml:space="preserve">Schéma usuel (doxorubicine 60-75 mg/m²)</t>
  </si>
  <si>
    <t xml:space="preserve">N106</t>
  </si>
  <si>
    <t xml:space="preserve">Épirubicine 25 mg/m² hebdomadaire</t>
  </si>
  <si>
    <t xml:space="preserve">• Manque dans la bibliothèque (référence : Twelves 1991)</t>
  </si>
  <si>
    <t xml:space="preserve">Rythme : J1, J8, J15, J22 – tous les 28 jours
1. ONSET (ondansétron) 8 mg/4 ml inj. — 8 mg (dose fixe) — Jours 1,8,15,22 — 30 min avant la chimiothérapie — IV — NaCl 0,9 % 50 ml — 15 min
2. SOLUMEDROL (méthylprednisolone) inj. — 40 mg (dose fixe) — Jours 1,8,15,22 — 30 min avant la chimiothérapie — IV — NaCl 0,9 % 50 ml — 15 min
3. ÉPIRUBICINE — 25 mg/m² — Jours 1,8,15,22 — IV — NaCl 0,9 % 100 ml — 15 min
Remarques :
- FEVG ; cumul ≤ 900 mg/m²</t>
  </si>
  <si>
    <t xml:space="preserve">Séances hebdomadaires (J8, J15…) : PNN ≥ 1,0 G/L et plaquettes ≥ 75 G/L
Anthracycline : FEVG ≥ 50 % ; cumul épirubicine ≤ 900 mg/m²</t>
  </si>
  <si>
    <t xml:space="preserve">Twelves 1991</t>
  </si>
  <si>
    <t xml:space="preserve">Éribuline (Halaven)</t>
  </si>
  <si>
    <t xml:space="preserve">• SUPPRIMER : Ligne « SOLUMEDROL » : risque émétique faible, un seul antiémétique suffit (MASCC/ESMO 2023) ; garder l'ONSET (ou l'inverse si tu préfères, mais un seul des deux)
• REMARQUE à remplacer : « Conforme aux doses eviQ » → « Doses conformes à : EMBRACE (sein) »</t>
  </si>
  <si>
    <t xml:space="preserve">Éribuline J8 : PNN ≥ 1,0 et plaquettes ≥ 75</t>
  </si>
  <si>
    <t xml:space="preserve">EMBRACE (sein) ; Schöffski 2016 (liposarcome)</t>
  </si>
  <si>
    <t xml:space="preserve">Sein › Sein › Métastatique › Triple négatif
Sarcomes › Tissus mous › Avancé / métastatique / récidive
Sarcomes › Liposarcome › Avancé / métastatique</t>
  </si>
  <si>
    <t xml:space="preserve">Gemcitabine 1000 + Carboplatine AUC 2 J1-J8 / 21 j (sein)</t>
  </si>
  <si>
    <t xml:space="preserve">O'Shaughnessy 2014</t>
  </si>
  <si>
    <t xml:space="preserve">Nab-paclitaxel (Abraxane)</t>
  </si>
  <si>
    <t xml:space="preserve">• REMARQUE à remplacer : « Conforme aux doses eviQ » → « Doses conformes à : Gradishar 2005 (260 mg/m² toutes les 3 semaines) »</t>
  </si>
  <si>
    <t xml:space="preserve">Gradishar 2005 (260 mg/m² toutes les 3 semaines)</t>
  </si>
  <si>
    <t xml:space="preserve">N046</t>
  </si>
  <si>
    <t xml:space="preserve">Nab-paclitaxel 100 mg/m² J1-J8-J15 / 28 j</t>
  </si>
  <si>
    <t xml:space="preserve">• Manque dans la bibliothèque (référence : CA024 (Gradishar 2009))</t>
  </si>
  <si>
    <t xml:space="preserve">Rythme : J1, J8, J15 – tous les 28 jours
1. ONSET (ondansétron) 8 mg/4 ml inj. — 8 mg (dose fixe) — Jours 1,8,15 — 30 min avant la chimiothérapie — IV — NaCl 0,9 % 50 ml — 15 min
2. ABRAXANE (nab-paclitaxel) — 100 mg/m² — Jours 1,8,15 — IV — poche vide stérile, non dilué — 30 min
Remarques :
- Pas de prémédication anti-allergique nécessaire
- 125 mg/m² possible selon la tolérance</t>
  </si>
  <si>
    <t xml:space="preserve">CA024 (Gradishar 2009)</t>
  </si>
  <si>
    <t xml:space="preserve">Paclitaxel + Gemcitabine</t>
  </si>
  <si>
    <t xml:space="preserve">• Paclitaxel sans anti-H1 (prévu par le RCP avec le corticoïde)
• G-CSF en texte : ni dose, ni durée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</si>
  <si>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10,11,12,13,14 (libellé « J10 → J14 : 5 injections ») — à domicile (infirmière), dès 24 h après la fin de la chimiothérapie ; si G-CSF décidé — SC (remplace la ligne « NIVESTIM 30 MU (filgrastim) » sans dose ni durée)
• AJOUTER la ligne : POLARAMINE (dexchlorphéniramine) 5 mg/1 ml inj. — 5 mg (dose fixe) — Jours 1 — 30 min avant la perfusion — IV lente
• REMARQUE à remplacer : « Conforme aux doses eviQ » → « Doses conformes à : JHQG (Albain 2008) »</t>
  </si>
  <si>
    <t xml:space="preserve">JHQG (Albain 2008)</t>
  </si>
  <si>
    <t xml:space="preserve">N108</t>
  </si>
  <si>
    <t xml:space="preserve">Paclitaxel 90 J1-J8-J15 + Bévacizumab 10 mg/kg J1-J15 / 28 j</t>
  </si>
  <si>
    <t xml:space="preserve">• Manque dans la bibliothèque (référence : E2100 (Miller 2007))</t>
  </si>
  <si>
    <t xml:space="preserve">Rythme : Paclitaxel J1, J8, J15 ; bévacizumab J1 et J15 – tous les 28 jours
1. POLARAMINE (dexchlorphéniramine) 5 mg/1 ml inj. — 5 mg (dose fixe) — Jours 1,8,15 — 30 min avant la perfusion — IV lente
2. SOLUMEDROL (méthylprednisolone) inj. — 80 mg (dose fixe) — Jours 1,8,15 — 30 min avant la chimiothérapie — IV — NaCl 0,9 % 50 ml — 15 min
3. ONSET (ondansétron) 8 mg/4 ml inj. — 8 mg (dose fixe) — Jours 1,8,15 — 30 min avant la chimiothérapie — IV — NaCl 0,9 % 50 ml — 15 min
4. YPEVA (bévacizumab) — 10 mg/kg — Jours 1,15 — IV — NaCl 0,9 % 100 ml — 30-90 min
5. PACLITAXEL — 90 mg/m² — Jours 1,8,15 — IV — NaCl 0,9 % 250 ml, filtre 0,22 µm — 1 h</t>
  </si>
  <si>
    <t xml:space="preserve">E2100 (Miller 2007)</t>
  </si>
  <si>
    <t xml:space="preserve">N047</t>
  </si>
  <si>
    <t xml:space="preserve">Vinorelbine 25 mg/m² IV hebdomadaire</t>
  </si>
  <si>
    <t xml:space="preserve">Rythme : J1, J8, J15, J22 – tous les 28 jours
1. ONSET (ondansétron) 8 mg/4 ml inj. — 8 mg (dose fixe) — Jours 1,8,15,22 — 30 min avant la chimiothérapie — IV — NaCl 0,9 % 50 ml — 15 min
2. VINORELBINE (Navelbine) — 25 mg/m² — Jours 1,8,15,22 — IV — NaCl 0,9 % 50 ml — 6-10 min, puis rinçage
Remarques :
- Vésicant : voie sûre, rinçage</t>
  </si>
  <si>
    <t xml:space="preserve">Séances hebdomadaires (J8, J15…) : PNN ≥ 1,0 G/L et plaquettes ≥ 75 G/L
Vinorelbine : PNN ≥ 1,5 (J8 : ≥ 1,0)</t>
  </si>
  <si>
    <t xml:space="preserve">Vinorelbine orale 60 mg/m² J1-J8 / 21 j</t>
  </si>
  <si>
    <t xml:space="preserve">Schéma usuel (RCP : 60 puis 80 mg/m² par semaine) ; J1-J8 / 21 j : variante courante</t>
  </si>
  <si>
    <t xml:space="preserve">N109</t>
  </si>
  <si>
    <t xml:space="preserve">Élacestrant 345 mg/j (ESR1 muté)</t>
  </si>
  <si>
    <t xml:space="preserve">• Manque dans la bibliothèque (référence : EMERALD)</t>
  </si>
  <si>
    <t xml:space="preserve">Rythme : 1 prise par jour en continu
1. ORSERDU (élacestrant) 345 mg cp — 345 mg (dose fixe) — Jours 1 (libellé « J1 → J28 (continu) ») — au cours du repas — Per os — 28 jours
Remarques :
- ESR1 muté sur ADN tumoral circulant</t>
  </si>
  <si>
    <t xml:space="preserve">EMERALD</t>
  </si>
  <si>
    <t xml:space="preserve">Fulvestrant 500 mg / 28 j</t>
  </si>
  <si>
    <t xml:space="preserve">CONFIRM ; FALCON</t>
  </si>
  <si>
    <t xml:space="preserve">N110</t>
  </si>
  <si>
    <t xml:space="preserve">RH+ / HER2− – hormonothérapie + CDK4/6</t>
  </si>
  <si>
    <t xml:space="preserve">Abémaciclib 200 mg × 2/j en monothérapie</t>
  </si>
  <si>
    <t xml:space="preserve">• Manque dans la bibliothèque (référence : MONARCH 1)</t>
  </si>
  <si>
    <t xml:space="preserve">Rythme : Matin et soir en continu
1. VERZENIOS (abémaciclib) 100 mg cp — 200 mg (dose fixe) — Jours 1 (libellé « J1 → J28 (continu) ») — matin et soir — Per os — 28 jours
2. LOPERIUM (lopéramide) 2 mg — dès la 1re selle liquide (unité : texte libre) — Jours 1 — Per os
Remarques :
- Diarrhée : lopéramide remis dès J1
- NFS et bilan hépatique toutes les 2 semaines les 2 premiers mois</t>
  </si>
  <si>
    <t xml:space="preserve">MONARCH 1</t>
  </si>
  <si>
    <t xml:space="preserve">Anastrozole + Abémaciclib 150 mg × 2/j / 28 j</t>
  </si>
  <si>
    <t xml:space="preserve">MONARCH 3</t>
  </si>
  <si>
    <t xml:space="preserve">Anastrozole + Palbociclib 125 mg / 28 j</t>
  </si>
  <si>
    <t xml:space="preserve">PALOMA-2 (anti-aromatase non stéroïdien)</t>
  </si>
  <si>
    <t xml:space="preserve">Anastrozole + Ribociclib 600 mg / 28 j</t>
  </si>
  <si>
    <t xml:space="preserve">MONALEESA-2 / -7</t>
  </si>
  <si>
    <t xml:space="preserve">Fulvestrant 500 + Abémaciclib 150 mg × 2/j / 28 j</t>
  </si>
  <si>
    <t xml:space="preserve">MONARCH 2</t>
  </si>
  <si>
    <t xml:space="preserve">Fulvestrant 500 + Palbociclib 125 mg / 28 j</t>
  </si>
  <si>
    <t xml:space="preserve">PALOMA-3</t>
  </si>
  <si>
    <t xml:space="preserve">Fulvestrant 500 + Ribociclib 600 mg / 28 j</t>
  </si>
  <si>
    <t xml:space="preserve">MONALEESA-3</t>
  </si>
  <si>
    <t xml:space="preserve">Ibrance + Zometa (+ hormonothérapie)</t>
  </si>
  <si>
    <t xml:space="preserve">PALOMA-2/-3 + acide zolédronique (CALGB 70604 pour l'espacement)</t>
  </si>
  <si>
    <t xml:space="preserve">Ibrance 100 mg</t>
  </si>
  <si>
    <t xml:space="preserve">• Doublon de [40] (mêmes molécules, mêmes doses, même cycle)</t>
  </si>
  <si>
    <t xml:space="preserve">• SUPPRIMER LE PROTOCOLE : après avoir ajouté ses indications dans [40] (elles sont listées sur la ligne de [40])</t>
  </si>
  <si>
    <t xml:space="preserve">PALOMA-2/-3 (1er palier de réduction)</t>
  </si>
  <si>
    <t xml:space="preserve">Létrozole + Abémaciclib 150 mg × 2/j / 28 j</t>
  </si>
  <si>
    <t xml:space="preserve">Létrozole + Palbociclib 125 mg / 28 j</t>
  </si>
  <si>
    <t xml:space="preserve">PALOMA-2</t>
  </si>
  <si>
    <t xml:space="preserve">Létrozole + Ribociclib 600 mg / 28 j</t>
  </si>
  <si>
    <t xml:space="preserve">MONALEESA-2</t>
  </si>
  <si>
    <t xml:space="preserve">Palbociclib (Ibrance) 75 mg</t>
  </si>
  <si>
    <t xml:space="preserve">PALOMA-2/-3 (2e palier de réduction)</t>
  </si>
  <si>
    <t xml:space="preserve">Palbociclib 125 mg</t>
  </si>
  <si>
    <t xml:space="preserve">• Mention eviQ dans le nom ou les remarques
• Regroupe les doublons : [39], [41]</t>
  </si>
  <si>
    <t xml:space="preserve">• REMARQUE à remplacer : « Conforme aux doses eviQ » → « Doses conformes à : PALOMA-2/-3 »
• À FAIRE : reprendre ici les remarques utiles de [39], puis supprimer [39]
• À FAIRE : reprendre ici les remarques utiles de [41], puis supprimer [41]
• REMARQUE à ajouter : Paliers de réduction : 100 mg puis 75 mg par jour (J1-J21, reprise à J29)</t>
  </si>
  <si>
    <t xml:space="preserve">PALOMA-2/-3</t>
  </si>
  <si>
    <t xml:space="preserve">Ribociclib (Kisqali) 600 mg</t>
  </si>
  <si>
    <t xml:space="preserve">• Mention eviQ dans le nom ou les remarques
• Ribociclib seul : en pratique toujours avec une hormonothérapie → Garder les associations [72]-[74] et retirer ou renommer ce protocole « palier de dose »</t>
  </si>
  <si>
    <t xml:space="preserve">• SUPPRIMER LE PROTOCOLE : Ribociclib seul : toujours avec une hormonothérapie ([72]-[74])</t>
  </si>
  <si>
    <t xml:space="preserve">MONALEESA-2/-3/-7 (toujours avec une hormonothérapie)</t>
  </si>
  <si>
    <t xml:space="preserve">N111</t>
  </si>
  <si>
    <t xml:space="preserve">RH+ / HER2− – hormonothérapie + thérapie ciblée</t>
  </si>
  <si>
    <t xml:space="preserve">Alpélisib 300 mg/j + Fulvestrant 500 / 28 j (PIK3CA muté)</t>
  </si>
  <si>
    <t xml:space="preserve">• Manque dans la bibliothèque (référence : SOLAR-1)</t>
  </si>
  <si>
    <t xml:space="preserve">Rythme : Alpélisib en continu ; fulvestrant J1 (et J15 au C1)
1. PIQRAY (alpélisib) 150 mg cp — 300 mg (dose fixe) — Jours 1 (libellé « J1 → J28 (continu) ») — 1 prise par jour au cours du repas — Per os — 28 jours
2. FULVESTRANT (Faslodex) — 500 mg (dose fixe) — Jours 1 — 2 injections de 250 mg — IM
3. FULVESTRANT – dose de charge J15 — 500 mg (dose fixe) — Jours 15 — IM — C1 seule
Remarques :
- Glycémie à jeun J1, J8, J15 puis mensuelle ; HbA1c tous les 3 mois
- Antihistaminique préventif (cétirizine 10 mg/j) les 8 premières semaines</t>
  </si>
  <si>
    <t xml:space="preserve">SOLAR-1</t>
  </si>
  <si>
    <t xml:space="preserve">Exémestane 25 mg + Évérolimus 10 mg/j</t>
  </si>
  <si>
    <t xml:space="preserve">BOLERO-2</t>
  </si>
  <si>
    <t xml:space="preserve">Fulvestrant 500 + Capivasertib 400 mg × 2/j (4 j sur 7) / 28 j</t>
  </si>
  <si>
    <t xml:space="preserve">CAPItello-291</t>
  </si>
  <si>
    <t xml:space="preserve">N049</t>
  </si>
  <si>
    <t xml:space="preserve">Gemcitabine 1000 + Carboplatine AUC 2 J1-J8 + Pembrolizumab 200 / 21 j (KEYNOTE-355)</t>
  </si>
  <si>
    <t xml:space="preserve">• Manque dans la bibliothèque (référence : KEYNOTE-355)</t>
  </si>
  <si>
    <t xml:space="preserve">Rythme : J1 et J8 ; pembrolizumab J1 – tous les 21 jours
1. ONSET (ondansétron) 8 mg/4 ml inj. — 8 mg (dose fixe) — Jours 1,8 — 30 min avant la chimiothérapie — IV — NaCl 0,9 % 50 ml — 15 min
2. SOLUMEDROL (méthylprednisolone) inj. — 60 mg (dose fixe) — Jours 1,8 — 30 min avant la chimiothérapie — IV — NaCl 0,9 % 50 ml — 15 min
3. KEYTRUDA (pembrolizumab) — 200 mg (dose fixe) — Jours 1 — IV — NaCl 0,9 % 100 ml — 30 min
4. GEMCITABINE — 1000 mg/m² — Jours 1,8 — IV — NaCl 0,9 % 250 ml — 30 min
5. CARBOPLATINE — AUC 2 — Jours 1,8 — IV — G5 % 250 ml — 30 min
Remarques :
- PD-L1 CPS ≥ 10</t>
  </si>
  <si>
    <t xml:space="preserve">Carboplatine : créatinine du jour obligatoire (Calvert, clairance plafonnée à 125 ml/min)
Gemcitabine J8/J15 : PNN ≥ 1,0 et plaquettes ≥ 100 → 100 % ; PNN 0,5-1,0 ou plaquettes 50-100 → 75 % ; en dessous, séance non faite
Immunothérapie : TSH, transaminases, créatinine, glycémie avant chaque cure ; toxicité immunologique de grade ≥ 2 → suspendre</t>
  </si>
  <si>
    <t xml:space="preserve">KEYNOTE-355</t>
  </si>
  <si>
    <t xml:space="preserve">N048</t>
  </si>
  <si>
    <t xml:space="preserve">Nab-paclitaxel 100 J1-J8-J15 / 28 j + Pembrolizumab 200 / 21 j (KEYNOTE-355) – cycle de 84 jours</t>
  </si>
  <si>
    <t xml:space="preserve">Rythme : Cycle de 12 semaines : nab-paclitaxel J1, J8, J15 de chaque période de 28 jours ; pembrolizumab toutes les 3 semaines
1. ONSET (ondansétron) 8 mg/4 ml inj. — 8 mg (dose fixe) — Jours 1,8,15,29,36,43,57,64,71 — 30 min avant la chimiothérapie — IV — NaCl 0,9 % 50 ml — 15 min
2. ABRAXANE (nab-paclitaxel) — 100 mg/m² — Jours 1,8,15,29,36,43,57,64,71 — IV — poche vide stérile, non dilué — 30 min
3. KEYTRUDA (pembrolizumab) — 200 mg (dose fixe) — Jours 1,22,43,64 — IV — NaCl 0,9 % 100 ml — 30 min
Remarques :
- PD-L1 CPS ≥ 10
- Cycle de 84 jours = 3 périodes de 28 jours = 4 périodes de 21 jours : les deux rythmes tombent juste</t>
  </si>
  <si>
    <t xml:space="preserve">Séances hebdomadaires (J8, J15…) : PNN ≥ 1,0 G/L et plaquettes ≥ 75 G/L
Paclitaxel : bilirubine ≤ 1,5 × N ; neuropathie de grade ≥ 2 → réduire
Immunothérapie : TSH, transaminases, créatinine, glycémie avant chaque cure ; toxicité immunologique de grade ≥ 2 → suspendre</t>
  </si>
  <si>
    <t xml:space="preserve">Paclitaxel 90 hebdo + Pembrolizumab 200 / 21 j (KEYNOTE-355)</t>
  </si>
  <si>
    <t xml:space="preserve">• Cycle faux : l'essai donne le paclitaxel J1-J8-J15 tous les 28 jours ; ici tous les 21 jours, donc paclitaxel chaque semaine sans semaine de repos (dose-intensité +33 %) → Passer à J1-J8-J15 / 28 j avec pembrolizumab 200 mg toutes les 3 semaines (ou 400 mg toutes les 6 semaines) suivi à part
• Paclitaxel sans anti-H1 (prévu par le RCP avec le corticoïde)</t>
  </si>
  <si>
    <t xml:space="preserve">• MODIFIER : Cycle : 84 jours (= 3 × 28 = 4 × 21) ; Rythme : « Paclitaxel J1-J8-J15 de chaque période de 28 jours ; pembrolizumab toutes les 3 semaines »
• MODIFIER : PACLITAXEL — 90 mg/m² — Jours 1,8,15,29,36,43,57,64,71 — IV — 1 h (remplace PACLITAXEL J1,8,15)
• MODIFIER : KEYTRUDA / PEMORIAL (pembrolizumab) — 200 mg (dose fixe) — Jours 1,22,43,64 — IV — 30 min (remplace pembrolizumab J1)
• MODIFIER : SOLUMEDROL, ONSET et POLARAMINE : jours 1,8,15,29,36,43,57,64,71 (les jours du paclitaxel)
• AJOUTER la ligne : POLARAMINE (dexchlorphéniramine) 5 mg/1 ml inj. — 5 mg (dose fixe) — Jours 1,8,15,29,36,43,57,64,71 — 30 min avant la perfusion — IV lente</t>
  </si>
  <si>
    <t xml:space="preserve">KEYNOTE-355 (paclitaxel J1-J8-J15 / 28 j)</t>
  </si>
  <si>
    <t xml:space="preserve">N055</t>
  </si>
  <si>
    <t xml:space="preserve">Tête et cou</t>
  </si>
  <si>
    <t xml:space="preserve">Nasopharynx</t>
  </si>
  <si>
    <t xml:space="preserve">Capécitabine métronomique 650 mg/m² × 2/j pendant 1 an (nasopharynx)</t>
  </si>
  <si>
    <t xml:space="preserve">• Manque dans la bibliothèque (référence : Chen 2021)
• Créer d'abord la branche : Tête et cou &gt; Nasopharynx &gt; Adjuvant</t>
  </si>
  <si>
    <t xml:space="preserve">Rythme : Matin et soir en continu, 1 an
1. CAPÉCITABINE (Xeloda) — 650 mg/m² — Jours 1 (libellé « J1 → J28 (continu) ») — matin et soir — Per os — 28 jours
Remarques :
- Après radiochimiothérapie, maladie à haut risque</t>
  </si>
  <si>
    <t xml:space="preserve">Chen 2021</t>
  </si>
  <si>
    <t xml:space="preserve">N054</t>
  </si>
  <si>
    <t xml:space="preserve">PF adjuvant : Cisplatine 80 J1 + 5-FU 1000 J1-J4 / 28 j × 3 (nasopharynx)</t>
  </si>
  <si>
    <t xml:space="preserve">• Manque dans la bibliothèque (référence : Intergroup 0099)
• Créer d'abord la branche : Tête et cou &gt; Nasopharynx &gt; Adjuvant</t>
  </si>
  <si>
    <t xml:space="preserve">Rythme : J1 à J4, tous les 28 jours × 3, après la radiochimiothérapie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HYDRATATION AVANT CISPLATINE : NaCl 0,9 % — 1000 ml + KCl 1,5 g + MgSO4 2 g (unité : texte libre) — Jours 1 — en 1 h, avant le cisplatine — IV
4. HYDRATATION APRÈS CISPLATINE : NaCl 0,9 % — 1000 ml (unité : texte libre) — Jours 1 — en 1 h, après le cisplatine ; diurèse ≥ 100 ml/h — IV
5. CISPLATINE — 80 mg/m² — Jours 1 — IV — NaCl 0,9 % 500 ml — 1 h
6. 5-FLUORO-URACILE — 1000 mg/m² — Jours 1 (libellé « J1 → J4 ») — /j en continu (diffuseur 96 h) — IV continu — 96 h
Pas dans le protocole (ordonnance de sortie) : EMEND, SOLUPRED, OLANZAPINE</t>
  </si>
  <si>
    <t xml:space="preserve">Intergroup 0099</t>
  </si>
  <si>
    <t xml:space="preserve">Induction</t>
  </si>
  <si>
    <t xml:space="preserve">Gemcitabine 1000 J1-J8 + Cisplatine 80 J1 / 21 j (nasopharynx)</t>
  </si>
  <si>
    <t xml:space="preserve">Zhang 2016 (métastatique) ; Zhang 2019 (induction)</t>
  </si>
  <si>
    <t xml:space="preserve">Tête et cou › Nasopharynx › Métastatique</t>
  </si>
  <si>
    <t xml:space="preserve">N118</t>
  </si>
  <si>
    <t xml:space="preserve">Gemcitabine 1000 J1-J8 + Cisplatine 80 J1 + Toripalimab 240 / 21 j</t>
  </si>
  <si>
    <t xml:space="preserve">• Manque dans la bibliothèque (référence : JUPITER-02)</t>
  </si>
  <si>
    <t xml:space="preserve">Rythme : J1 et J8, tous les 21 jours × 6, puis toripalimab
1. ONSET (ondansétron) 8 mg/4 ml inj. — 8 mg (dose fixe) — Jours 1,8 — 30 min avant la chimiothérapie — IV — NaCl 0,9 % 50 ml — 15 min
2. SOLUMEDROL (méthylprednisolone) inj. — 60 mg (dose fixe) — Jours 1 — 30 min avant la chimiothérapie — IV — NaCl 0,9 % 50 ml — 15 min
3. HYDRATATION AVANT CISPLATINE : NaCl 0,9 % — 1000 ml + KCl 1,5 g + MgSO4 2 g (unité : texte libre) — Jours 1 — en 1 h, avant le cisplatine — IV
4. HYDRATATION APRÈS CISPLATINE : NaCl 0,9 % — 1000 ml (unité : texte libre) — Jours 1 — en 1 h, après le cisplatine ; diurèse ≥ 100 ml/h — IV
5. LOQTORZI (toripalimab) — 240 mg (dose fixe) — Jours 1 — IV — NaCl 0,9 % 100 ml — 60 min (C1) puis 30 min
6. GEMCITABINE — 1000 mg/m² — Jours 1,8 — IV — NaCl 0,9 % 250 ml — 30 min
7. CISPLATINE — 80 mg/m² — Jours 1 — IV — NaCl 0,9 % 500 ml — 1 h
Remarques :
- Selon disponibilité au Maroc
Pas dans le protocole (ordonnance de sortie) : EMEND, SOLUPRED, OLANZAPINE</t>
  </si>
  <si>
    <t xml:space="preserve">JUPITER-02</t>
  </si>
  <si>
    <t xml:space="preserve">N009</t>
  </si>
  <si>
    <t xml:space="preserve">Cisplatine 100 mg/m² J1-J22-J43 + Radiothérapie (nasopharynx)</t>
  </si>
  <si>
    <t xml:space="preserve">• Manque dans la bibliothèque (référence : Intergroup 0099 (Al-Sarraf 1998))</t>
  </si>
  <si>
    <t xml:space="preserve">Rythme : J1, J22, J43 pendant la radiothérapie, puis PF adjuvant × 3 si prévu
1. ONSET (ondansétron) 8 mg/4 ml inj. — 8 mg (dose fixe) — Jours 1,22,43 — 30 min avant la chimiothérapie — IV — NaCl 0,9 % 50 ml — 15 min
2. SOLUMEDROL (méthylprednisolone) inj. — 60 mg (dose fixe) — Jours 1,22,43 — 30 min avant la chimiothérapie — IV — NaCl 0,9 % 50 ml — 15 min
3. HYDRATATION AVANT CISPLATINE : NaCl 0,9 % — 1000 ml + KCl 1,5 g + MgSO4 2 g (unité : texte libre) — Jours 1,22,43 — en 1 h, avant le cisplatine — IV
4. HYDRATATION APRÈS CISPLATINE : NaCl 0,9 % — 1000 ml (unité : texte libre) — Jours 1,22,43 — en 1 h, après le cisplatine ; diurèse ≥ 100 ml/h — IV
5. CISPLATINE — 100 mg/m² — Jours 1,22,43 — IV — NaCl 0,9 % 500 ml — 1 h
Remarques :
- Induction GP ou TPF possible avant ([286], [175])
Pas dans le protocole (ordonnance de sortie) : EMEND, SOLUPRED, OLANZAPINE</t>
  </si>
  <si>
    <t xml:space="preserve">Intergroup 0099 (Al-Sarraf 1998)</t>
  </si>
  <si>
    <t xml:space="preserve">VADS</t>
  </si>
  <si>
    <t xml:space="preserve">TPF (Docétaxel 75 + Cisplatine 100 J1 + 5-FU 1000 J1-J4) / 21 j (eviQ)</t>
  </si>
  <si>
    <t xml:space="preserve">• Anti-NK1 et olanzapine absents (risque émétique élevé) → ordonnance de sortie
• Phase retardée non couverte : pas de corticoïde J2-J4 après le cisplatine (J1) → ordonnance de sortie
• Docétaxel ≥ 60 mg/m² : corticoïde seulement le jour de la perfusion → ordonnance de sortie
• Hydratation du cisplatine seulement en remarque (pas de lignes NaCl, KCl, MgSO4)
• G-CSF en texte : ni dose, ni durée → ligne Nivestim structurée (jours et nombre d'injections)
• Mention eviQ dans le nom ou les remarques</t>
  </si>
  <si>
    <t xml:space="preserve">• REMPLACER par : NIVESTIM (filgrastim) 30 MU/0,5 ml — 1 injection SC par jour : 30 MU, 48 MU si poids &gt; 70 kg (unité : texte libre) — Jours 6,7,8,9,10 (libellé « J6 → J10 : 5 injections ») — à domicile (infirmière), dès 24 h après la fin de la chimiothérapie ; si G-CSF décidé — SC (remplace la ligne « NIVESTIM 30 MU (filgrastim) » sans dose ni durée)
• NOM : « TPF (Docétaxel 75 + Cisplatine 100 J1 + 5-FU 1000 J1-J4) / 21 j (eviQ) » → « TPF (Docétaxel 75 + Cisplatine 100 J1 + 5-FU 1000 J1-J4) / 21 j – TAX 324 (Posner 2007) »
• MODIFIER : SOLUMEDROL 80 mg → 60 mg les jours de l'aprépitant (J1) : interaction, RCP Emend (−25 % en IV)
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remplacer : « Référence eviQ ID 588 (TAX 324) – cisplatine à J1 uniquement ; votre fiche d’origine différait (docétaxel 70, cisplatine 30, 5-FU 3000) » → « Référence : TAX 324 – cisplatine à J1 uniquement ; votre fiche d’origine différait (docétaxel 70, cisplatine 30, 5-FU 3000) »</t>
  </si>
  <si>
    <t xml:space="preserve">Chimio – Sortie : risque émétique élevé (cisplatine, dacarbazine)
Chimio – Prémédication docétaxel (à prendre à domicile)
Chimio – Sous Nivestim : douleurs osseuses et NFS (si G-CSF décidé)
Chimio – Capécitabine : mains-pieds et diarrhée</t>
  </si>
  <si>
    <t xml:space="preserve">TAX 324 (Posner 2007) ; TAX 323 (Vermorken 2007, cisplatine 75)</t>
  </si>
  <si>
    <t xml:space="preserve">Tête et cou › Nasopharynx › Induction</t>
  </si>
  <si>
    <t xml:space="preserve">TPF fractionné : Docétaxel 70 + Cisplatine 30 J1-J3 + 5-FU 3000 sur 5 j / 21 j (HGC)</t>
  </si>
  <si>
    <t xml:space="preserve">• REMPLACER par : NIVESTIM (filgrastim) 30 MU/0,5 ml — 1 injection SC par jour : 30 MU, 48 MU si poids &gt; 70 kg (unité : texte libre) — Jours 7,8,9,10,11 (libellé « J7 → J11 : 5 injections ») — à domicile (infirmière), dès 24 h après la fin de la chimiothérapie ; si G-CSF décidé — SC (remplace la ligne « NIVESTIM 30 MU (filgrastim) » sans dose ni durée)
• MODIFIER : SOLUMEDROL 120 mg → 90 mg les jours de l'aprépitant (J1) : interaction, RCP Emend (−25 % en IV)
• AJOUTER la ligne : HYDRATATION AVANT CISPLATINE : NaCl 0,9 % — 500 ml + KCl 1,5 g + MgSO4 2 g (unité : texte libre) — Jours 1,2,3 — en 1 h, avant le cisplatine — IV
• AJOUTER la ligne : HYDRATATION APRÈS CISPLATINE : NaCl 0,9 % — 500 ml (unité : texte libre) — Jours 1,2,3 — en 1 h, après le cisplatine ; diurèse ≥ 100 ml/h — IV</t>
  </si>
  <si>
    <t xml:space="preserve">Chimio – Sortie : cisplatine sur plusieurs jours (BEP, EP, VIP…)
Chimio – Prémédication docétaxel (à prendre à domicile)
Chimio – Sous Nivestim : douleurs osseuses et NFS (si G-CSF décidé)
Chimio – Capécitabine : mains-pieds et diarrhée</t>
  </si>
  <si>
    <t xml:space="preserve">TPF modifié J1-J15 / 28 j</t>
  </si>
  <si>
    <t xml:space="preserve">• Anti-NK1 et olanzapine absents (risque émétique élevé) → ordonnance de sortie
• Hydratation du cisplatine seulement en remarque (pas de lignes NaCl, KCl, MgSO4)
• G-CSF en texte : ni dose, ni durée (une seule injection J4/J18) → ligne Nivestim structurée (jours et nombre d'injections)
• TPF toutes les 2 semaines : variante locale sans essai → Documenter comme variante locale
• Médicament pris à domicile écrit dans le protocole → ordonnance de sortie</t>
  </si>
  <si>
    <t xml:space="preserve">• SUPPRIMER du protocole : ligne « SOLUMEDROL » (J2,16) : elle passe sur l'ordonnance « Chimio – Sortie : risque émétique élevé (cisplatine, dacarbazine) »
• REMPLACER par : NIVESTIM (filgrastim) 30 MU/0,5 ml — 1 injection SC par jour : 30 MU, 48 MU si poids &gt; 70 kg (unité : texte libre) — Jours 4,5,6,7,8,18,19,20,21,22 (libellé « J4 → J8 et J18 → J22 : 5 + 5 = 10 injections ») — à domicile (infirmière), dès 24 h après la fin de la chimiothérapie — SC (remplace la ligne « NIVESTIM 30 MU (filgrastim) » à injection unique (J4,18))
• MODIFIER : SOLUMEDROL 120 mg → 90 mg les jours de l'aprépitant (J1,15) : interaction, RCP Emend (−25 % en IV)
• AJOUTER la ligne : HYDRATATION AVANT CISPLATINE : NaCl 0,9 % — 500 ml + KCl 1,5 g + MgSO4 2 g (unité : texte libre) — Jours 1,15 — en 1 h, avant le cisplatine — IV
• AJOUTER la ligne : HYDRATATION APRÈS CISPLATINE : NaCl 0,9 % — 500 ml (unité : texte libre) — Jours 1,15 — en 1 h, après le cisplatine ; diurèse ≥ 100 ml/h — IV</t>
  </si>
  <si>
    <t xml:space="preserve">Chimio – Sortie : risque émétique élevé (cisplatine, dacarbazine)
Chimio – Sous Nivestim : douleurs osseuses et NFS
Chimio – Capécitabine : mains-pieds et diarrhée</t>
  </si>
  <si>
    <t xml:space="preserve">Variante locale (pas d'essai de phase III)</t>
  </si>
  <si>
    <t xml:space="preserve">Carboplatine 70 + 5-FU 600 J1-J4 + Radiothérapie (GORTEC 94-01)</t>
  </si>
  <si>
    <t xml:space="preserve">Carboplatine : créatinine du jour obligatoire (Calvert, clairance plafonnée à 125 ml/min)
5-FU : uracilémie (DPD) avant la 1re cure ; mucite ou diarrhée de grade ≥ 2 → report</t>
  </si>
  <si>
    <t xml:space="preserve">GORTEC 94-01 (Calais 1999)</t>
  </si>
  <si>
    <t xml:space="preserve">Cétuximab + Radiothérapie (Bonner)</t>
  </si>
  <si>
    <t xml:space="preserve">• Cétuximab sans anti-H1 (RCP : anti-H1 + corticoïde au moins 1 h avant chaque perfusion)
• Charge de cétuximab à J-7 seulement en remarque → Créer la charge comme ligne J-7 (le calendrier la placera)</t>
  </si>
  <si>
    <t xml:space="preserve">• AJOUTER la ligne : POLARAMINE (dexchlorphéniramine) 5 mg/1 ml inj. — 5 mg (dose fixe) — Jours 1,8,15,22,29,36 — 1 h avant le cétuximab — IV lente</t>
  </si>
  <si>
    <t xml:space="preserve">Séances hebdomadaires (J8, J15…) : PNN ≥ 1,0 G/L et plaquettes ≥ 75 G/L
Anti-EGFR : magnésémie ; éruption de grade 3 → report</t>
  </si>
  <si>
    <t xml:space="preserve">Bonner 2006</t>
  </si>
  <si>
    <t xml:space="preserve">N010</t>
  </si>
  <si>
    <t xml:space="preserve">Cisplatine 100 mg/m² J1-J22-J43 + Radiothérapie</t>
  </si>
  <si>
    <t xml:space="preserve">• Manque dans la bibliothèque (référence : RTOG 9501 / EORTC 22931 (postopératoire) ; RTOG 0129)
• Créer d'abord la branche : Tête et cou &gt; VADS &gt; Postopératoire – radiochimiothérapie</t>
  </si>
  <si>
    <t xml:space="preserve">Rythme : J1, J22, J43 pendant la radiothérapie (3 cures)
1. ONSET (ondansétron) 8 mg/4 ml inj. — 8 mg (dose fixe) — Jours 1,22,43 — 30 min avant la chimiothérapie — IV — NaCl 0,9 % 50 ml — 15 min
2. SOLUMEDROL (méthylprednisolone) inj. — 60 mg (dose fixe) — Jours 1,22,43 — 30 min avant la chimiothérapie — IV — NaCl 0,9 % 50 ml — 15 min
3. HYDRATATION AVANT CISPLATINE : NaCl 0,9 % — 1000 ml + KCl 1,5 g + MgSO4 2 g (unité : texte libre) — Jours 1,22,43 — en 1 h, avant le cisplatine — IV
4. HYDRATATION APRÈS CISPLATINE : NaCl 0,9 % — 1000 ml (unité : texte libre) — Jours 1,22,43 — en 1 h, après le cisplatine ; diurèse ≥ 100 ml/h — IV
5. MANNITOL 10 % — 250 ml (unité : texte libre) — Jours 1,22,43 — avec le cisplatine (facultatif) — IV
6. CISPLATINE — 100 mg/m² — Jours 1,22,43 — IV — NaCl 0,9 % 500 ml — 1 h
Remarques :
- Dose cumulée ≥ 200 mg/m² : objectif minimal
- Audiogramme initial ; créatinine et magnésémie avant chaque cure
Pas dans le protocole (ordonnance de sortie) : EMEND, SOLUPRED, OLANZAPINE</t>
  </si>
  <si>
    <t xml:space="preserve">RTOG 9501 / EORTC 22931 (postopératoire) ; RTOG 0129</t>
  </si>
  <si>
    <t xml:space="preserve">Tête et cou › VADS › Postopératoire – radiochimiothérapie (branche à créer)</t>
  </si>
  <si>
    <t xml:space="preserve">Cisplatine 40 mg/m² hebdomadaire + Radiothérapie</t>
  </si>
  <si>
    <t xml:space="preserve">• Anti-NK1 absent (élevé – cisplatine hebdomadaire + rt) → ordonnance de sortie
• Hydratation du cisplatine seulement en remarque (pas de lignes NaCl, KCl, MgSO4)</t>
  </si>
  <si>
    <t xml:space="preserve">JCOG1008 (ORL postopératoire) ; GOG 120 / Rose 1999 (col) ; GOG 205 (vulve)</t>
  </si>
  <si>
    <t xml:space="preserve">Tête et cou › Nasopharynx › Radiochimiothérapie
Gynécologie › Col de l'utérus › Radiochimiothérapie
Gynécologie › Vulve › Radiochimiothérapie
Urologie › Vessie / urothélium › Radiochimiothérapie</t>
  </si>
  <si>
    <t xml:space="preserve">Docétaxel 15 mg/m² hebdomadaire + Radiothérapie</t>
  </si>
  <si>
    <t xml:space="preserve">Patil 2023 (docétaxel hebdomadaire si cisplatine contre-indiqué)</t>
  </si>
  <si>
    <t xml:space="preserve">Carboplatine AUC 5 + 5-FU + Cétuximab (EXTREME)</t>
  </si>
  <si>
    <t xml:space="preserve">• Anti-NK1 absent (modéré haut – carboplatine auc ≥ 5) → ordonnance de sortie
• Cétuximab sans anti-H1 (RCP : anti-H1 + corticoïde au moins 1 h avant chaque perfusion)</t>
  </si>
  <si>
    <t xml:space="preserve">• AJOUTER la ligne : POLARAMINE (dexchlorphéniramine) 5 mg/1 ml inj. — 5 mg (dose fixe) — Jours 1,8,15 — 1 h avant le cétuximab — IV lente</t>
  </si>
  <si>
    <t xml:space="preserve">Séances hebdomadaires (J8, J15…) : PNN ≥ 1,0 G/L et plaquettes ≥ 75 G/L
Carboplatine : créatinine du jour obligatoire (Calvert, clairance plafonnée à 125 ml/min)
5-FU : uracilémie (DPD) avant la 1re cure ; mucite ou diarrhée de grade ≥ 2 → report
Anti-EGFR : magnésémie ; éruption de grade 3 → report</t>
  </si>
  <si>
    <t xml:space="preserve">Chimio – Sortie : carboplatine, Enhertu, Trodelvy
Chimio – Capécitabine : mains-pieds et diarrhée
Chimio – Anti-EGFR : peau (cétuximab, panitumumab)</t>
  </si>
  <si>
    <t xml:space="preserve">EXTREME (bras carboplatine)</t>
  </si>
  <si>
    <t xml:space="preserve">Carboplatine AUC 5 + 5-FU + Pembrolizumab (KEYNOTE-048)</t>
  </si>
  <si>
    <t xml:space="preserve">Carboplatine : créatinine du jour obligatoire (Calvert, clairance plafonnée à 125 ml/min)
5-FU : uracilémie (DPD) avant la 1re cure ; mucite ou diarrhée de grade ≥ 2 → report
Immunothérapie : TSH, transaminases, créatinine, glycémie avant chaque cure ; toxicité immunologique de grade ≥ 2 → suspendre</t>
  </si>
  <si>
    <t xml:space="preserve">Chimio – Sortie : carboplatine, Enhertu, Trodelvy
Chimio – Capécitabine : mains-pieds et diarrhée</t>
  </si>
  <si>
    <t xml:space="preserve">KEYNOTE-048 (carboplatine)</t>
  </si>
  <si>
    <t xml:space="preserve">Carboplatine AUC 5 + 5-FU 1000 J1-J4 / 21 j</t>
  </si>
  <si>
    <t xml:space="preserve">Schéma usuel (bras de comparaison EXTREME / KEYNOTE-048)</t>
  </si>
  <si>
    <t xml:space="preserve">Cétuximab hebdomadaire (charge 400 puis 250 mg/m²)</t>
  </si>
  <si>
    <t xml:space="preserve">• Cétuximab sans anti-H1 (RCP : anti-H1 + corticoïde au moins 1 h avant chaque perfusion)</t>
  </si>
  <si>
    <t xml:space="preserve">Vermorken 2007 (phase II, cétuximab seul)</t>
  </si>
  <si>
    <t xml:space="preserve">Cisplatine 100 + 5-FU + Cétuximab (EXTREME)</t>
  </si>
  <si>
    <t xml:space="preserve">• Anti-NK1 et olanzapine absents (risque émétique élevé) → ordonnance de sortie
• Phase retardée non couverte : pas de corticoïde J2-J4 après le cisplatine (J1) → ordonnance de sortie
• Cétuximab sans anti-H1 (RCP : anti-H1 + corticoïde au moins 1 h avant chaque perfusion)
• Hydratation du cisplatine seulement en remarque (pas de lignes NaCl, KCl, MgSO4)</t>
  </si>
  <si>
    <t xml:space="preserve">• AJOUTER la ligne : POLARAMINE (dexchlorphéniramine) 5 mg/1 ml inj. — 5 mg (dose fixe) — Jours 1,8,15 — 1 h avant le cétuximab — IV lente
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</t>
  </si>
  <si>
    <t xml:space="preserve">Séances hebdomadaires (J8, J15…) : PNN ≥ 1,0 G/L et plaquettes ≥ 75 G/L
Cisplatine : DFG ≥ 60 ml/min (45-59 : réduire ou carboplatine) ; magnésémie et audition avant chaque cure
5-FU : uracilémie (DPD) avant la 1re cure ; mucite ou diarrhée de grade ≥ 2 → report
Anti-EGFR : magnésémie ; éruption de grade 3 → report</t>
  </si>
  <si>
    <t xml:space="preserve">Chimio – Sortie : risque émétique élevé (cisplatine, dacarbazine)
Chimio – Capécitabine : mains-pieds et diarrhée
Chimio – Anti-EGFR : peau (cétuximab, panitumumab)</t>
  </si>
  <si>
    <t xml:space="preserve">EXTREME (Vermorken 2008)</t>
  </si>
  <si>
    <t xml:space="preserve">Cisplatine 100 + 5-FU + Pembrolizumab (KEYNOTE-048)</t>
  </si>
  <si>
    <t xml:space="preserve">KEYNOTE-048</t>
  </si>
  <si>
    <t xml:space="preserve">Cisplatine 100 J1 + 5-FU 1000 J1-J4 / 21 j (ORL, eviQ)</t>
  </si>
  <si>
    <t xml:space="preserve">• NOM : « Cisplatine 100 J1 + 5-FU 1000 J1-J4 / 21 j (ORL, eviQ) » → « Cisplatine 100 J1 + 5-FU 1000 J1-J4 / 21 j – KEYNOTE-048 (bras chimiothérapie) »
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remplacer : « Schéma standard (eviQ) ; votre fiche d’origine : cisplatine 25 mg/m² J1-J3, 5-FU 3000 mg/m² sur 5 jours, acide folinique » → « Schéma standard ; votre fiche d’origine : cisplatine 25 mg/m² J1-J3, 5-FU 3000 mg/m² sur 5 jours, acide folinique »</t>
  </si>
  <si>
    <t xml:space="preserve">KEYNOTE-048 (bras chimiothérapie) ; Forastiere 1992</t>
  </si>
  <si>
    <t xml:space="preserve">Cisplatine 25 J1-J3 + 5-FU 3000 sur 5 j + Acide folinique / 28 j (ORL, HGC)</t>
  </si>
  <si>
    <t xml:space="preserve">• Anti-NK1 et olanzapine absents (risque émétique élevé) → ordonnance de sortie
• Cisplatine multi-jours : corticoïde non prolongé après la dernière dose → ordonnance de sortie
• Hydratation du cisplatine seulement en remarque (pas de lignes NaCl, KCl, MgSO4)</t>
  </si>
  <si>
    <t xml:space="preserve">• MODIFIER : SOLUMEDROL 80 mg → 60 mg les jours de l'aprépitant (J1) : interaction, RCP Emend (−25 % en IV)
• AJOUTER la ligne : HYDRATATION AVANT CISPLATINE : NaCl 0,9 % — 500 ml + KCl 1,5 g + MgSO4 2 g (unité : texte libre) — Jours 1,2,3 — en 1 h, avant le cisplatine — IV
• AJOUTER la ligne : HYDRATATION APRÈS CISPLATINE : NaCl 0,9 % — 500 ml (unité : texte libre) — Jours 1,2,3 — en 1 h, après le cisplatine ; diurèse ≥ 100 ml/h — IV</t>
  </si>
  <si>
    <t xml:space="preserve">Chimio – Sortie : cisplatine sur plusieurs jours (BEP, EP, VIP…)
Chimio – Capécitabine : mains-pieds et diarrhée</t>
  </si>
  <si>
    <t xml:space="preserve">Cisplatine 75 + Paclitaxel 175 J1 / 21 j (ORL)</t>
  </si>
  <si>
    <t xml:space="preserve">Cisplatine : DFG ≥ 60 ml/min (45-59 : réduire ou carboplatine) ; magnésémie et audition avant chaque cure
Paclitaxel : bilirubine ≤ 1,5 × N ; neuropathie de grade ≥ 2 → réduire</t>
  </si>
  <si>
    <t xml:space="preserve">E1395 (Gibson 2005)</t>
  </si>
  <si>
    <t xml:space="preserve">Méthotrexate 40 mg/m² hebdomadaire</t>
  </si>
  <si>
    <t xml:space="preserve">Schéma usuel (bras de comparaison KEYNOTE-040)</t>
  </si>
  <si>
    <t xml:space="preserve">N057</t>
  </si>
  <si>
    <t xml:space="preserve">Paclitaxel 80 + Cétuximab hebdomadaires / 21 j (ERBITAX)</t>
  </si>
  <si>
    <t xml:space="preserve">• Manque dans la bibliothèque (référence : ERBITAX (Hitt 2012))</t>
  </si>
  <si>
    <t xml:space="preserve">Rythme : J1, J8, J15 – tous les 21 jours
1. POLARAMINE (dexchlorphéniramine) 5 mg/1 ml inj. — 5 mg (dose fixe) — Jours 1,8,15 — 30 min avant la perfusion — IV lente
2. SOLUMEDROL (méthylprednisolone) inj. — 80 mg (dose fixe) — Jours 1,8,15 — 30 min avant la chimiothérapie — IV — NaCl 0,9 % 50 ml — 15 min
3. ONSET (ondansétron) 8 mg/4 ml inj. — 8 mg (dose fixe) — Jours 1,8,15 — 30 min avant la chimiothérapie — IV — NaCl 0,9 % 50 ml — 15 min
4. ERBITUX (cétuximab) – charge — 400 mg/m² — Jours 1 — IV — 2 h — C1 seule
5. ERBITUX (cétuximab) — 250 mg/m² — Jours 1 — IV — 1 h — sauf C1
6. ERBITUX (cétuximab) — 250 mg/m² — Jours 8,15 — IV — 1 h
7. PACLITAXEL — 80 mg/m² — Jours 1,8,15 — IV — NaCl 0,9 % 250 ml, filtre 0,22 µm — 1 h
Remarques :
- La POLARAMINE et le SOLUMEDROL couvrent aussi le cétuximab : à donner 1 h avant</t>
  </si>
  <si>
    <t xml:space="preserve">Séances hebdomadaires (J8, J15…) : PNN ≥ 1,0 G/L et plaquettes ≥ 75 G/L
Paclitaxel : bilirubine ≤ 1,5 × N ; neuropathie de grade ≥ 2 → réduire
Anti-EGFR : magnésémie ; éruption de grade 3 → report</t>
  </si>
  <si>
    <t xml:space="preserve">ERBITAX (Hitt 2012)</t>
  </si>
  <si>
    <t xml:space="preserve">N056</t>
  </si>
  <si>
    <t xml:space="preserve">TPEx : Docétaxel 75 + Cisplatine 75 J1 + Cétuximab hebdomadaire / 21 j × 4</t>
  </si>
  <si>
    <t xml:space="preserve">• Manque dans la bibliothèque (référence : GORTEC 2014-01 (TPExtreme))</t>
  </si>
  <si>
    <t xml:space="preserve">Rythme : J1 tous les 21 jours × 4 ; cétuximab J1, J8, J15 ; puis cétuximab 500 mg/m² toutes les 2 semaines
1. ONSET (ondansétron) 8 mg/4 ml inj. — 8 mg (dose fixe) — Jours 1 — 30 min avant la chimiothérapie — IV — NaCl 0,9 % 50 ml — 15 min
2. SOLUMEDROL (méthylprednisolone) inj. — 60 mg (dose fixe) — Jours 1 — 30 min avant la chimiothérapie — IV — NaCl 0,9 % 50 ml — 15 min
3. HYDRATATION AVANT CISPLATINE : NaCl 0,9 % — 1000 ml + KCl 1,5 g + MgSO4 2 g (unité : texte libre) — Jours 1 — en 1 h, avant le cisplatine — IV
4. HYDRATATION APRÈS CISPLATINE : NaCl 0,9 % — 1000 ml (unité : texte libre) — Jours 1 — en 1 h, après le cisplatine ; diurèse ≥ 100 ml/h — IV
5. POLARAMINE (dexchlorphéniramine) 5 mg/1 ml inj. — 5 mg (dose fixe) — Jours 1,8,15 — 1 h avant le cétuximab — IV lente
6. SOLUMEDROL (méthylprednisolone) inj. — 40 mg (dose fixe) — Jours 8,15 — 1 h avant le cétuximab — IV — NaCl 0,9 % 50 ml — 15 min
7. ERBITUX (cétuximab) – charge — 400 mg/m² — Jours 1 — IV — 2 h — C1 seule
8. ERBITUX (cétuximab) — 250 mg/m² — Jours 1 — IV — 1 h — sauf C1
9. ERBITUX (cétuximab) — 250 mg/m² — Jours 8,15 — IV — 1 h
10. DOCÉTAXEL — 75 mg/m² — Jours 1 — IV — NaCl 0,9 % 250 ml — 1 h
11. CISPLATINE — 75 mg/m² — Jours 1 — IV — NaCl 0,9 % 500 ml — 1 h
12. NIVESTIM (filgrastim) 30 MU/0,5 ml — 1 injection SC par jour : 30 MU, 48 MU si poids &gt; 70 kg (unité : texte libre) — Jours 3,4,5,6,7 (libellé « J3 → J7 : 5 injections ») — à domicile (infirmière), dès 24 h après la fin de la chimiothérapie — SC
Remarques :
- G-CSF systématique (TPEx)
- Entretien : cétuximab 500 mg/m² / 14 j (créer le protocole d'entretien)
Pas dans le protocole (ordonnance de sortie) : EMEND, SOLUPRED, OLANZAPINE</t>
  </si>
  <si>
    <t xml:space="preserve">Séances hebdomadaires (J8, J15…) : PNN ≥ 1,0 G/L et plaquettes ≥ 75 G/L
Cisplatine : DFG ≥ 60 ml/min (45-59 : réduire ou carboplatine) ; magnésémie et audition avant chaque cure
Docétaxel : bilirubine ≤ normale ; ne pas faire si ASAT/ALAT &gt; 1,5 × N avec PAL &gt; 2,5 × N
Anti-EGFR : magnésémie ; éruption de grade 3 → report</t>
  </si>
  <si>
    <t xml:space="preserve">Chimio – Sortie : risque émétique élevé (cisplatine, dacarbazine)
Chimio – Prémédication docétaxel (à prendre à domicile)
Chimio – Sous Nivestim : douleurs osseuses et NFS
Chimio – Anti-EGFR : peau (cétuximab, panitumumab)</t>
  </si>
  <si>
    <t xml:space="preserve">GORTEC 2014-01 (TPExtreme)</t>
  </si>
  <si>
    <t xml:space="preserve">N113</t>
  </si>
  <si>
    <t xml:space="preserve">Thyroïde</t>
  </si>
  <si>
    <t xml:space="preserve">Thyroïde médullaire</t>
  </si>
  <si>
    <t xml:space="preserve">Cabozantinib 140 mg/j (thyroïde médullaire, gélules Cometriq)</t>
  </si>
  <si>
    <t xml:space="preserve">• Manque dans la bibliothèque (référence : EXAM)
• Créer d'abord la branche : Thyroïde &gt; Thyroïde médullaire &gt; Avancé / métastatique</t>
  </si>
  <si>
    <t xml:space="preserve">Rythme : En continu
1. COMETRIQ (cabozantinib) gél. — 140 mg (dose fixe) — Jours 1 (libellé « J1 → J28 (continu) ») — 1 prise par jour à jeun (ne pas remplacer par Cabometyx comprimé) — Per os — 28 jours
Remarques :
- ECG (QT), calcitonine, ACE</t>
  </si>
  <si>
    <t xml:space="preserve">EXAM</t>
  </si>
  <si>
    <t xml:space="preserve">N114</t>
  </si>
  <si>
    <t xml:space="preserve">Selpercatinib 160 mg × 2/j (thyroïde RET)</t>
  </si>
  <si>
    <t xml:space="preserve">• Manque dans la bibliothèque (référence : LIBRETTO-531)
• Créer d'abord la branche : Thyroïde &gt; Thyroïde médullaire &gt; Avancé / métastatique</t>
  </si>
  <si>
    <t xml:space="preserve">Rythme : En continu
1. RETSEVMO (selpercatinib) 80 mg gél. — 160 mg (dose fixe) — Jours 1 (libellé « J1 → J28 (continu) ») — matin et soir — Per os — 28 jours
Remarques :
- ECG (QT), calcitonine, ACE</t>
  </si>
  <si>
    <t xml:space="preserve">LIBRETTO-531</t>
  </si>
  <si>
    <t xml:space="preserve">N112</t>
  </si>
  <si>
    <t xml:space="preserve">Vandétanib 300 mg/j (thyroïde médullaire)</t>
  </si>
  <si>
    <t xml:space="preserve">• Manque dans la bibliothèque (référence : ZETA)
• Créer d'abord la branche : Thyroïde &gt; Thyroïde médullaire &gt; Avancé / métastatique</t>
  </si>
  <si>
    <t xml:space="preserve">Rythme : En continu
1. CAPRELSA (vandétanib) 300 mg cp — 300 mg (dose fixe) — Jours 1 (libellé « J1 → J28 (continu) ») — 1 prise par jour — Per os — 28 jours
Remarques :
- ECG (QT), calcitonine, ACE</t>
  </si>
  <si>
    <t xml:space="preserve">ZETA</t>
  </si>
  <si>
    <t xml:space="preserve">Thyroïde réfractaire à l'iode</t>
  </si>
  <si>
    <t xml:space="preserve">Lenvatinib 24 mg/j (thyroïde)</t>
  </si>
  <si>
    <t xml:space="preserve">SELECT (Schlumberger 2015)</t>
  </si>
  <si>
    <t xml:space="preserve">N008</t>
  </si>
  <si>
    <t xml:space="preserve">Traitements associés</t>
  </si>
  <si>
    <t xml:space="preserve">Castration</t>
  </si>
  <si>
    <t xml:space="preserve">Agonistes / antagonistes LHRH</t>
  </si>
  <si>
    <t xml:space="preserve">Bicalutamide 50 mg/j autour de la 1re injection d'agoniste LHRH (effet flare)</t>
  </si>
  <si>
    <t xml:space="preserve">• Manque dans la bibliothèque (référence : EAU (schéma usuel))</t>
  </si>
  <si>
    <t xml:space="preserve">Rythme : 1 cp par jour, de 7 jours avant à 21 jours après la 1re injection
1. BICALUTAMIDE 50 mg cp — 50 mg (dose fixe) — Jours 1 (libellé « J-7 → J+21 de l'agoniste ») — 1 cp par jour — Per os — 4 semaines
Remarques :
- Inutile avec le dégarélix</t>
  </si>
  <si>
    <t xml:space="preserve">EAU (schéma usuel)</t>
  </si>
  <si>
    <t xml:space="preserve">Urologie › Prostate › Métastatique hormonosensible</t>
  </si>
  <si>
    <t xml:space="preserve">Dégarélix (Firmagon) 240 mg puis 80 mg / 28 j</t>
  </si>
  <si>
    <t xml:space="preserve">CS21 (Klotz 2008)</t>
  </si>
  <si>
    <t xml:space="preserve">Goséréline (Zoladex) 10,8 mg / 12 semaines</t>
  </si>
  <si>
    <t xml:space="preserve">Goséréline (Zoladex) 3,6 mg / 28 jours</t>
  </si>
  <si>
    <t xml:space="preserve">Leuproréline (Eligard) 22,5 mg / 3 mois</t>
  </si>
  <si>
    <t xml:space="preserve">N116</t>
  </si>
  <si>
    <t xml:space="preserve">Leuproréline (Eligard) 45 mg / 6 mois</t>
  </si>
  <si>
    <t xml:space="preserve">Rythme : 1 injection SC tous les 6 mois
1. ELIGARD 45 mg (leuproréline) — 45 mg (dose fixe) — Jours 1 — SC
Remarques :
- Bicalutamide à la 1re injection</t>
  </si>
  <si>
    <t xml:space="preserve">N115</t>
  </si>
  <si>
    <t xml:space="preserve">Relugolix 360 mg J1 puis 120 mg/j</t>
  </si>
  <si>
    <t xml:space="preserve">• Manque dans la bibliothèque (référence : HERO)</t>
  </si>
  <si>
    <t xml:space="preserve">Rythme : En continu
1. ORGOVYX (relugolix) 120 mg cp — 3 cp (360 mg) le 1er jour, puis 1 cp (120 mg) par jour (unité : texte libre) — Jours 1 (libellé « J1 → continu ») — Per os
Remarques :
- Interactions (P-gp)</t>
  </si>
  <si>
    <t xml:space="preserve">HERO</t>
  </si>
  <si>
    <t xml:space="preserve">Triptoréline (Décapeptyl LP) 11,25 mg / 3 mois</t>
  </si>
  <si>
    <t xml:space="preserve">Triptoréline (Décapeptyl LP) 22,5 mg / 6 mois</t>
  </si>
  <si>
    <t xml:space="preserve">Triptoréline (Décapeptyl) 3,75 mg / mois</t>
  </si>
  <si>
    <t xml:space="preserve">Os</t>
  </si>
  <si>
    <t xml:space="preserve">Métastases osseuses</t>
  </si>
  <si>
    <t xml:space="preserve">Acide zolédronique (Zometa) 4 mg / 12 semaines (entretien)</t>
  </si>
  <si>
    <t xml:space="preserve">CALGB 70604 (Himelstein 2017) ; OPTIMIZE-2</t>
  </si>
  <si>
    <t xml:space="preserve">Acide zolédronique (Zometa) 4 mg / 28 j</t>
  </si>
  <si>
    <t xml:space="preserve">Rosen 2003 ; Saad 2002</t>
  </si>
  <si>
    <t xml:space="preserve">Dénosumab (Xgeva) 120 mg / 28 j</t>
  </si>
  <si>
    <t xml:space="preserve">Dénosumab : calcémie corrigée ≥ 2,1 mmol/L ; soins dentaires faits</t>
  </si>
  <si>
    <t xml:space="preserve">Stopeck 2010 ; Fizazi 2011</t>
  </si>
  <si>
    <t xml:space="preserve">N050</t>
  </si>
  <si>
    <t xml:space="preserve">Support</t>
  </si>
  <si>
    <t xml:space="preserve">Anémie</t>
  </si>
  <si>
    <t xml:space="preserve">Fer IV : Carboxymaltose ferrique 1000 mg</t>
  </si>
  <si>
    <t xml:space="preserve">• Manque dans la bibliothèque (référence : ESMO 2018 (anémie))
• Créer d'abord la branche : Traitements associés &gt; Support &gt; Anémie</t>
  </si>
  <si>
    <t xml:space="preserve">Rythme : 1 perfusion, à répéter selon la ferritine
1. FERINJECT (carboxymaltose ferrique) — 1000 mg (dose fixe) — Jours 1 — IV — NaCl 0,9 % 250 ml — 15 min — max 20 mg/kg
Remarques :
- Ferritine &lt; 100 ng/ml ou CST &lt; 20 % ; phosphorémie</t>
  </si>
  <si>
    <t xml:space="preserve">ESMO 2018 (anémie)</t>
  </si>
  <si>
    <t xml:space="preserve">Facteurs de croissance / EPO</t>
  </si>
  <si>
    <t xml:space="preserve">Nivestim 30 MU (filgrastim)</t>
  </si>
  <si>
    <t xml:space="preserve">• REMPLACER par : NIVESTIM (filgrastim) 30 MU/0,5 ml — 1 injection SC par jour : 30 MU, 48 MU si poids &gt; 70 kg (unité : texte libre) — Jours 1,2,3,4,5 (libellé « J1 → J5 : 5 injections ») — à domicile (infirmière), dès 24 h après la fin de la chimiothérapie — SC (remplace la ligne « NIVESTIM 30 MU (filgrastim) » à injection unique (J1))</t>
  </si>
  <si>
    <t xml:space="preserve">ASCO 2015 (Smith) ; EORTC 2010 (Aapro) – facteurs de croissance</t>
  </si>
  <si>
    <t xml:space="preserve">N051</t>
  </si>
  <si>
    <t xml:space="preserve">Pegfilgrastim 6 mg J2 (si disponible)</t>
  </si>
  <si>
    <t xml:space="preserve">• Manque dans la bibliothèque (référence : ASCO 2015 (facteurs de croissance))</t>
  </si>
  <si>
    <t xml:space="preserve">Rythme : 1 injection 24 h après la chimiothérapie, à chaque cure
1. PEGFILGRASTIM 6 mg (Neulasta ou biosimilaire) — 1 injection SC par jour : 30 MU, 48 MU si poids &gt; 70 kg mg (dose fixe) — Jours 2 (libellé « J2 → J2 : 1 injections ») — à domicile (infirmière), dès 24 h après la fin de la chimiothérapie — SC
Remarques :
- Ne pas donner moins de 14 jours avant la cure suivante</t>
  </si>
  <si>
    <t xml:space="preserve">ASCO 2015 (facteurs de croissance)</t>
  </si>
  <si>
    <t xml:space="preserve">Recormon 30 000 UI (époétine bêta)</t>
  </si>
  <si>
    <t xml:space="preserve">ASCO/ASH 2019 (agents stimulant l'érythropoïèse) ; ESMO 2018 (anémie)</t>
  </si>
  <si>
    <t xml:space="preserve">N053</t>
  </si>
  <si>
    <t xml:space="preserve">Infections</t>
  </si>
  <si>
    <t xml:space="preserve">Prophylaxie de l'hépatite B : Entécavir 0,5 mg/j</t>
  </si>
  <si>
    <t xml:space="preserve">• Manque dans la bibliothèque (référence : ASCO 2020 (VHB))
• Créer d'abord la branche : Traitements associés &gt; Support &gt; Infections</t>
  </si>
  <si>
    <t xml:space="preserve">Rythme : Pendant le traitement et 12 à 18 mois après
1. BARACLUDE (entécavir) 0,5 mg cp — 0,5 mg (dose fixe) — Jours 1 (libellé « continu ») — à jeun — Per os
Remarques :
- AgHBs+ ou anti-HBc+ sous rituximab, corticoïdes, chimiothérapie lourde</t>
  </si>
  <si>
    <t xml:space="preserve">ASCO 2020 (VHB)</t>
  </si>
  <si>
    <t xml:space="preserve">N052</t>
  </si>
  <si>
    <t xml:space="preserve">Prophylaxie de la pneumocystose : Bactrim Forte 3 fois par semaine</t>
  </si>
  <si>
    <t xml:space="preserve">• Manque dans la bibliothèque (référence : ESMO 2021 ; RCP Temodal)
• Créer d'abord la branche : Traitements associés &gt; Support &gt; Infections</t>
  </si>
  <si>
    <t xml:space="preserve">Rythme : Lundi, mercredi, vendredi
1. BACTRIM FORTE (sulfaméthoxazole 800 mg + triméthoprime 160 mg) — 1 cp le lundi, le mercredi et le vendredi (unité : texte libre) — Jours 1 — Per os
Remarques :
- Témozolomide + RT, corticoïdes ≥ 20 mg de prednisone pendant ≥ 4 semaines</t>
  </si>
  <si>
    <t xml:space="preserve">ESMO 2021 ; RCP Temodal</t>
  </si>
  <si>
    <t xml:space="preserve">N117</t>
  </si>
  <si>
    <t xml:space="preserve">Urgences</t>
  </si>
  <si>
    <t xml:space="preserve">Extravasation d'anthracycline : Dexrazoxane 1000-1000-500 mg/m²</t>
  </si>
  <si>
    <t xml:space="preserve">• Manque dans la bibliothèque (référence : RCP Savene ; ESMO-EONS 2012)
• Créer d'abord la branche : Traitements associés &gt; Support &gt; Urgences</t>
  </si>
  <si>
    <t xml:space="preserve">Rythme : J1 dans les 6 h, J2, J3 à la même heure
1. SAVENE (dexrazoxane) — 1000 mg/m² — Jours 1,2 — IV — 1-2 h — max 2000 mg
2. SAVENE (dexrazoxane) — 500 mg/m² — Jours 3 — IV — 1-2 h — max 1000 mg
Remarques :
- Pas de DMSO en même temps</t>
  </si>
  <si>
    <t xml:space="preserve">RCP Savene ; ESMO-EONS 2012</t>
  </si>
  <si>
    <t xml:space="preserve">N119</t>
  </si>
  <si>
    <t xml:space="preserve">Urologie</t>
  </si>
  <si>
    <t xml:space="preserve">Corticosurrénalome</t>
  </si>
  <si>
    <t xml:space="preserve">EDP-mitotane : Étoposide 100 J2-J4 + Doxorubicine 40 J1 + Cisplatine 40 J3-J4 / 28 j</t>
  </si>
  <si>
    <t xml:space="preserve">• Manque dans la bibliothèque (référence : FIRM-ACT)
• Créer d'abord la branche : Urologie &gt; Corticosurrénalome &gt; Avancé / métastatique</t>
  </si>
  <si>
    <t xml:space="preserve">Rythme : Tous les 28 jours ; mitotane en continu
1. ONSET (ondansétron) 8 mg/4 ml inj. — 8 mg (dose fixe) — Jours 1,2,3,4 — 30 min avant la chimiothérapie — IV — NaCl 0,9 % 50 ml — 15 min
2. SOLUMEDROL (méthylprednisolone) inj. — 40 mg (dose fixe) — Jours 3,4 — 30 min avant la chimiothérapie — IV — NaCl 0,9 % 50 ml — 15 min
3. HYDRATATION AVANT CISPLATINE : NaCl 0,9 % — 500 ml + KCl 1,5 g + MgSO4 2 g (unité : texte libre) — Jours 3,4 — en 1 h, avant le cisplatine — IV
4. HYDRATATION APRÈS CISPLATINE : NaCl 0,9 % — 500 ml (unité : texte libre) — Jours 3,4 — en 1 h, après le cisplatine ; diurèse ≥ 100 ml/h — IV
5. SOLUMEDROL (méthylprednisolone) inj. — 60 mg (dose fixe) — Jours 1 — 30 min avant la chimiothérapie — IV — NaCl 0,9 % 50 ml — 15 min
6. DOXORUBICINE — 40 mg/m² — Jours 1 — IV — NaCl 0,9 % 100 ml — 15 min
7. ÉTOPOSIDE (VP16 – Vépéside) — 100 mg/m² — Jours 2,3,4 — IV — NaCl 0,9 % 500 ml — 1 h
8. CISPLATINE — 40 mg/m² — Jours 3,4 — IV — NaCl 0,9 % 500 ml — 1 h
9. LYSODREN (mitotane) 500 mg cp — dose progressive, cible 14 à 20 mg/L de mitotanémie (unité : texte libre) — Jours 1 (libellé « continu ») — Per os
Remarques :
- Hydrocortisone substitutive avec le mitotane
Pas dans le protocole (ordonnance de sortie) : EMEND, SOLUPRED, OLANZAPINE</t>
  </si>
  <si>
    <t xml:space="preserve">Chimio – Sortie : cisplatine sur plusieurs jours (BEP, EP, VIP…)</t>
  </si>
  <si>
    <t xml:space="preserve">FIRM-ACT</t>
  </si>
  <si>
    <t xml:space="preserve">N058</t>
  </si>
  <si>
    <t xml:space="preserve">Pénis</t>
  </si>
  <si>
    <t xml:space="preserve">Néoadjuvant / métastatique</t>
  </si>
  <si>
    <t xml:space="preserve">TIP (pénis) : Paclitaxel 175 J1 + Ifosfamide 1200 + Cisplatine 25 J1-J3 / 21 j × 4</t>
  </si>
  <si>
    <t xml:space="preserve">• Manque dans la bibliothèque (référence : Pagliaro 2010)
• Créer d'abord la branche : Urologie &gt; Pénis &gt; Néoadjuvant / métastatique</t>
  </si>
  <si>
    <t xml:space="preserve">Rythme : J1 à J3, tous les 21 jours × 4
1. ONSET (ondansétron) 8 mg/4 ml inj. — 8 mg (dose fixe) — Jours 1,2,3 — 30 min avant la chimiothérapie — IV — NaCl 0,9 % 50 ml — 15 min
2. SOLUMEDROL (méthylprednisolone) inj. — 100 mg (dose fixe) — Jours 1 — 30 min avant la chimiothérapie — IV — NaCl 0,9 % 50 ml — 15 min
3. SOLUMEDROL (méthylprednisolone) inj. — 40 mg (dose fixe) — Jours 2,3 — 30 min avant la chimiothérapie — IV — NaCl 0,9 % 50 ml — 15 min
4. POLARAMINE (dexchlorphéniramine) 5 mg/1 ml inj. — 5 mg (dose fixe) — Jours 1 — 30 min avant la perfusion — IV lente
5. HYDRATATION AVANT CISPLATINE : NaCl 0,9 % — 500 ml + KCl 1,5 g + MgSO4 2 g (unité : texte libre) — Jours 1,2,3 — en 1 h, avant le cisplatine — IV
6. HYDRATATION APRÈS CISPLATINE : NaCl 0,9 % — 500 ml (unité : texte libre) — Jours 1,2,3 — en 1 h, après le cisplatine ; diurèse ≥ 100 ml/h — IV
7. PACLITAXEL — 175 mg/m² — Jours 1 — IV — NaCl 0,9 % 500 ml, filtre 0,22 µm — 3 h
8. IFOSFAMIDE (Holoxan) — 1200 mg/m² — Jours 1,2,3 — IV — NaCl 0,9 % 500 ml — 2 h
9. MESNA (Uromitexan) — 1200 mg/m² — Jours 1,2,3 — /j (100 % de la dose d'ifosfamide) — IV
10. CISPLATINE — 25 mg/m² — Jours 1,2,3 — IV — NaCl 0,9 % 250 ml — 1 h
11. NIVESTIM (filgrastim) 30 MU/0,5 ml — 1 injection SC par jour : 30 MU, 48 MU si poids &gt; 70 kg (unité : texte libre) — Jours 5,6,7,8,9 (libellé « J5 → J9 : 5 injections ») — à domicile (infirmière), dès 24 h après la fin de la chimiothérapie — SC
Pas dans le protocole (ordonnance de sortie) : EMEND, SOLUPRED, OLANZAPINE</t>
  </si>
  <si>
    <t xml:space="preserve">Cisplatine : DFG ≥ 60 ml/min (45-59 : réduire ou carboplatine) ; magnésémie et audition avant chaque cure
Paclitaxel : bilirubine ≤ 1,5 × N ; neuropathie de grade ≥ 2 → réduire
Ifosfamide : DFG ≥ 60 ml/min, hématurie absente ; encéphalopathie → arrêt</t>
  </si>
  <si>
    <t xml:space="preserve">Chimio – Sortie : cisplatine sur plusieurs jours (BEP, EP, VIP…)
Chimio – Sous Nivestim : douleurs osseuses et NFS</t>
  </si>
  <si>
    <t xml:space="preserve">Pagliaro 2010</t>
  </si>
  <si>
    <t xml:space="preserve">Prostate</t>
  </si>
  <si>
    <t xml:space="preserve">Localisé / localement avancé</t>
  </si>
  <si>
    <t xml:space="preserve">Abiratérone 1000 mg + Prednisolone</t>
  </si>
  <si>
    <t xml:space="preserve">LATITUDE ; STAMPEDE (localisé à haut risque) ; COU-AA-301/302</t>
  </si>
  <si>
    <t xml:space="preserve">Urologie › Prostate › Métastatique hormonosensible
Urologie › Prostate › Métastatique résistant à la castration</t>
  </si>
  <si>
    <t xml:space="preserve">Métastatique hormonosensible</t>
  </si>
  <si>
    <t xml:space="preserve">Apalutamide 240 mg</t>
  </si>
  <si>
    <t xml:space="preserve">TITAN ; SPARTAN</t>
  </si>
  <si>
    <t xml:space="preserve">Urologie › Prostate › Non métastatique résistant à la castration</t>
  </si>
  <si>
    <t xml:space="preserve">Darolutamide 600 mg × 2/j</t>
  </si>
  <si>
    <t xml:space="preserve">• Indiqué en « métastatique résistant à la castration » : pas d'AMM pour le darolutamide dans cette situation → Retirer cette indication</t>
  </si>
  <si>
    <t xml:space="preserve">• INDICATION à retirer : Urologie &gt; Prostate &gt; Métastatique résistant à la castration</t>
  </si>
  <si>
    <t xml:space="preserve">ARAMIS ; ARASENS ; ARANOTE (pas d'AMM en métastatique résistant à la castration)</t>
  </si>
  <si>
    <t xml:space="preserve">Urologie › Prostate › Métastatique résistant à la castration
Urologie › Prostate › Non métastatique résistant à la castration</t>
  </si>
  <si>
    <t xml:space="preserve">Docétaxel 75 mg/m² J1-J21 × 6 (hormonosensible)</t>
  </si>
  <si>
    <t xml:space="preserve">• G-CSF en texte : ni dose, ni durée → ligne Nivestim structurée (jours et nombre d'injections)
• Pas un doublon de [123] : mêmes doses, mais [240] = 6 cures, prostate hormonosensible (avec ADT), [123] = schéma général. Garder les deux ; le nom doit dire le contexte</t>
  </si>
  <si>
    <t xml:space="preserve">Chimio – Sous Nivestim : douleurs osseuses et NFS (si G-CSF décidé)
Chimio – Prémédication docétaxel prostate (à prendre à domicile)</t>
  </si>
  <si>
    <t xml:space="preserve">CHAARTED ; STAMPEDE</t>
  </si>
  <si>
    <t xml:space="preserve">Docétaxel 75 mg/m² × 6 + Abiratérone + Prednisone (PEACE-1)</t>
  </si>
  <si>
    <t xml:space="preserve">PEACE-1</t>
  </si>
  <si>
    <t xml:space="preserve">Docétaxel 75 mg/m² × 6 + Darolutamide (ARASENS)</t>
  </si>
  <si>
    <t xml:space="preserve">ARASENS</t>
  </si>
  <si>
    <t xml:space="preserve">Enzalutamide 160 mg</t>
  </si>
  <si>
    <t xml:space="preserve">ARCHES ; ENZAMET ; PREVAIL ; AFFIRM</t>
  </si>
  <si>
    <t xml:space="preserve">Urologie › Prostate › Métastatique résistant à la castration</t>
  </si>
  <si>
    <t xml:space="preserve">Métastatique résistant à la castration</t>
  </si>
  <si>
    <t xml:space="preserve">Cabazitaxel 20 mg/m² J1-J21 + Prednisone</t>
  </si>
  <si>
    <t xml:space="preserve">• Cabazitaxel sans anti-H1 (le RCP l'impose avant chaque perfusion) → Ajouter l'anti-H1 (Polaramine IV) ; G-CSF en prophylaxie primaire à discuter (CARD)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</si>
  <si>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prophylaxie primaire recommandée (CARD) — SC (remplace la ligne « NIVESTIM 30 MU (filgrastim) » sans dose ni durée)
• AJOUTER la ligne : POLARAMINE (dexchlorphéniramine) 5 mg/1 ml inj. — 5 mg (dose fixe) — Jours 1 — 30 min avant la perfusion — IV lente</t>
  </si>
  <si>
    <t xml:space="preserve">Cabazitaxel : bilirubine ≤ normale ; PNN ≥ 1,5 G/L</t>
  </si>
  <si>
    <t xml:space="preserve">PROSELICA (20 mg/m²) ; TROPIC / CARD (25 mg/m²)</t>
  </si>
  <si>
    <t xml:space="preserve">Cabazitaxel 25 mg/m² + Carboplatine AUC 4 + Prednisone</t>
  </si>
  <si>
    <t xml:space="preserve">• Cabazitaxel sans anti-H1 (le RCP l'impose avant chaque perfusion) → Ajouter l'anti-H1 (Polaramine IV)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</si>
  <si>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3,4,5,6,7 (libellé « J3 → J7 : 5 injections ») — à domicile (infirmière), dès 24 h après la fin de la chimiothérapie ; si G-CSF décidé — SC (remplace la ligne « NIVESTIM 30 MU (filgrastim) » sans dose ni durée)
• AJOUTER la ligne : POLARAMINE (dexchlorphéniramine) 5 mg/1 ml inj. — 5 mg (dose fixe) — Jours 1 — 30 min avant la perfusion — IV lente</t>
  </si>
  <si>
    <t xml:space="preserve">Carboplatine : créatinine du jour obligatoire (Calvert, clairance plafonnée à 125 ml/min)
Cabazitaxel : bilirubine ≤ normale ; PNN ≥ 1,5 G/L</t>
  </si>
  <si>
    <t xml:space="preserve">Corn 2019 (cabazitaxel + carboplatine)</t>
  </si>
  <si>
    <t xml:space="preserve">N011</t>
  </si>
  <si>
    <t xml:space="preserve">Cabazitaxel 25 mg/m² / 21 j + Prednisone 10 mg/j + G-CSF</t>
  </si>
  <si>
    <t xml:space="preserve">• Manque dans la bibliothèque (référence : TROPIC ; CARD)</t>
  </si>
  <si>
    <t xml:space="preserve">Rythme : J1, tous les 21 jours (jusqu'à 10 cycles) ; prednisone en continu
1. POLARAMINE (dexchlorphéniramine) 5 mg/1 ml inj. — 5 mg (dose fixe) — Jours 1 — 30 min avant la perfusion — IV lente
2. SOLUMEDROL (méthylprednisolone) inj. — 40 mg (dose fixe) — Jours 1 — 30 min avant la chimiothérapie — IV — NaCl 0,9 % 50 ml — 15 min
3. ONSET (ondansétron) 8 mg/4 ml inj. — 8 mg (dose fixe) — Jours 1 — 30 min avant la chimiothérapie — IV — NaCl 0,9 % 50 ml — 15 min
4. CABAZITAXEL (Jevtana) — 25 mg/m² — Jours 1 — IV — NaCl 0,9 % 250 ml, filtre — 1 h
5. PREDNISONE 5 mg — 10 mg (dose fixe) — Jours 1 (libellé « J1 → continu ») — 5 mg matin et soir — Per os
6. NIVESTIM (filgrastim) 30 MU/0,5 ml — 1 injection SC par jour : 30 MU, 48 MU si poids &gt; 70 kg (unité : texte libre) — Jours 3,4,5,6,7 (libellé « J3 → J7 : 5 injections ») — à domicile (infirmière), dès 24 h après la fin de la chimiothérapie — SC
Remarques :
- G-CSF en prophylaxie primaire (CARD)
- Diarrhée : lopéramide
- Palier : 20 mg/m² ([247])</t>
  </si>
  <si>
    <t xml:space="preserve">TROPIC ; CARD</t>
  </si>
  <si>
    <t xml:space="preserve">N121</t>
  </si>
  <si>
    <t xml:space="preserve">Docétaxel 30 mg/m² hebdomadaire 5 semaines sur 6 + Prednisone</t>
  </si>
  <si>
    <t xml:space="preserve">• Manque dans la bibliothèque (référence : TAX 327 (bras hebdomadaire))</t>
  </si>
  <si>
    <t xml:space="preserve">Rythme : J1, J8, J15, J22, J29 – tous les 42 jours
1. SOLUMEDROL (méthylprednisolone) inj. — 40 mg (dose fixe) — Jours 1,8,15,22,29 — 30 min avant la chimiothérapie — IV — NaCl 0,9 % 50 ml — 15 min
2. ONSET (ondansétron) 8 mg/4 ml inj. — 8 mg (dose fixe) — Jours 1,8,15,22,29 — 30 min avant la chimiothérapie — IV — NaCl 0,9 % 50 ml — 15 min
3. DOCÉTAXEL — 30 mg/m² — Jours 1,8,15,22,29 — IV — NaCl 0,9 % 250 ml — 30 min
4. PREDNISONE 5 mg — 10 mg (dose fixe) — Jours 1 (libellé « J1 → continu ») — 5 mg matin et soir — Per os
Remarques :
- Moins efficace que toutes les 3 semaines (TAX 327) : sujet fragile seulement</t>
  </si>
  <si>
    <t xml:space="preserve">TAX 327 (bras hebdomadaire)</t>
  </si>
  <si>
    <t xml:space="preserve">Docétaxel 50 mg/m² toutes les 2 semaines (J1-J15 / 28 j)</t>
  </si>
  <si>
    <t xml:space="preserve">PROSTY (Kellokumpu-Lehtinen 2013)</t>
  </si>
  <si>
    <t xml:space="preserve">Docétaxel 50 mg/m² toutes les 2 semaines + Zometa (J1-J15 / 28 j)</t>
  </si>
  <si>
    <t xml:space="preserve">Docétaxel : bilirubine ≤ normale ; ne pas faire si ASAT/ALAT &gt; 1,5 × N avec PAL &gt; 2,5 × N
Acide zolédronique : DFG ; calcémie ; soins dentaires faits</t>
  </si>
  <si>
    <t xml:space="preserve">PROSTY + acide zolédronique</t>
  </si>
  <si>
    <t xml:space="preserve">Docétaxel 75 mg/m² J1-J21 + Prednisone (résistant à la castration)</t>
  </si>
  <si>
    <t xml:space="preserve">• G-CSF en texte : ni dose, ni durée → ligne Nivestim structurée (jours et nombre d'injections)
• Docétaxel prostate : le RCP prévoit dexaméthasone 8 mg à H-12, H-3 et H-1 → Ajouter les prises la veille et le matin (équivalent Solumedrol)</t>
  </si>
  <si>
    <t xml:space="preserve">TAX 327</t>
  </si>
  <si>
    <t xml:space="preserve">N120</t>
  </si>
  <si>
    <t xml:space="preserve">Niraparib + Abiratérone (Akeega) + Prednisone 10 mg/j (HRR/BRCA)</t>
  </si>
  <si>
    <t xml:space="preserve">• Manque dans la bibliothèque (référence : MAGNITUDE)</t>
  </si>
  <si>
    <t xml:space="preserve">Rythme : En continu
1. AKEEGA (niraparib 100 mg + abiratérone 500 mg) cp — 2 cp en 1 prise à jeun (200 mg / 1000 mg) (unité : texte libre) — Jours 1 (libellé « J1 → J28 (continu) ») — Per os
2. PREDNISONE 5 mg — 10 mg (dose fixe) — Jours 1 (libellé « J1 → continu ») — 5 mg matin et soir — Per os
Remarques :
- NFS mensuelle ; TA, kaliémie, bilan hépatique</t>
  </si>
  <si>
    <t xml:space="preserve">MAGNITUDE</t>
  </si>
  <si>
    <t xml:space="preserve">Olaparib + Abiratérone + Prednisone</t>
  </si>
  <si>
    <t xml:space="preserve">PROpel</t>
  </si>
  <si>
    <t xml:space="preserve">Talazoparib 0,5 mg/j + Enzalutamide 160 mg/j (TALAPRO-2)</t>
  </si>
  <si>
    <t xml:space="preserve">TALAPRO-2</t>
  </si>
  <si>
    <t xml:space="preserve">Vinorelbine 25 mg/m² J1-J8</t>
  </si>
  <si>
    <t xml:space="preserve">• SUPPRIMER : Lignes « ONSET » et « SOLUMEDROL » : risque émétique minimal, pas d'antiémétique systématique (MASCC/ESMO 2023) ; CLOPRAME à la demande sur l'ordonnance de sortie
• INDICATION à ajouter : Poumon / thorax &gt; CBNPC &gt; Métastatique &gt; Sujet âgé (branche à créer, ELVIS)</t>
  </si>
  <si>
    <t xml:space="preserve">Schéma palliatif (pas de phase III récente)</t>
  </si>
  <si>
    <t xml:space="preserve">Sein › Sein › Métastatique › RH+ / HER2− – chimiothérapie
Sein › Sein › Métastatique › Triple négatif
Poumon / thorax › CBNPC › Métastatique › 2e ligne
Poumon / thorax › Mésothéliome pleural › Récidive</t>
  </si>
  <si>
    <t xml:space="preserve">Neuroendocrine</t>
  </si>
  <si>
    <t xml:space="preserve">Carboplatine AUC 2 + Étoposide 80 hebdomadaire J1-J8-J15 / 21 j – fractionné (HGC)</t>
  </si>
  <si>
    <t xml:space="preserve">• REMARQUE à remplacer : « Version de référence (eviQ) : carboplatine AUC 5 + étoposide 100 J1-J3 / 21 j, dans la même branche » → « Version de référence : carboplatine AUC 5 + étoposide 100 J1-J3 / 21 j, dans la même branche »</t>
  </si>
  <si>
    <t xml:space="preserve">Carboplatine AUC 2 J1-J15 / 28 j – fractionné (HGC)</t>
  </si>
  <si>
    <t xml:space="preserve">Cisplatine + Étoposide (VP16) hebdomadaire</t>
  </si>
  <si>
    <t xml:space="preserve">• Anti-NK1 et olanzapine absents (risque émétique élevé) → ordonnance de sortie
• Phase retardée non couverte : pas de corticoïde J2-J4 après le cisplatine (J1,8,15) → ordonnance de sortie
• Cisplatine sans hydratation ni magnésium ni potassium
• Étoposide 100 mg/m² chaque semaine (J1-J8-J15) : pas de schéma référencé (EP standard : J1-J3) → Revoir la source ou retirer</t>
  </si>
  <si>
    <t xml:space="preserve">• AJOUTER la ligne : HYDRATATION AVANT CISPLATINE : NaCl 0,9 % — 500 ml + KCl 1,5 g + MgSO4 2 g (unité : texte libre) — Jours 1,8,15 — en 1 h, avant le cisplatine — IV
• AJOUTER la ligne : HYDRATATION APRÈS CISPLATINE : NaCl 0,9 % — 500 ml (unité : texte libre) — Jours 1,8,15 — en 1 h, après le cisplatine ; diurèse ≥ 100 ml/h — IV
• À VÉRIFIER : Étoposide 100 mg/m² chaque semaine : aucun schéma de référence ; vérifier la source ou supprimer</t>
  </si>
  <si>
    <t xml:space="preserve">Pas de référence (étoposide hebdomadaire)</t>
  </si>
  <si>
    <t xml:space="preserve">EP 21 jours (Cisplatine 75 + Étoposide 100 J1-J3)</t>
  </si>
  <si>
    <t xml:space="preserve">• Cisplatine 75 mg/m² sans aucun antiémétique ni corticoïde → Appliquer le bloc « hautement émétisant » (anti-NK1 + sétron + corticoïde + olanzapine) et l'hydratation
• Anti-NK1 et olanzapine absents (risque émétique élevé) → ordonnance de sortie
• Hydratation du cisplatine seulement en remarque (pas de lignes NaCl, KCl, MgSO4)
• Schéma EP de référence du CBPC rangé en « prostate neuroendocrine » → Ajouter les indications CBPC limité et étendu</t>
  </si>
  <si>
    <t xml:space="preserve">• AJOUTER la ligne : ONSET (ondansétron) 8 mg/4 ml inj. — 8 mg (dose fixe) — Jours 1 — 30 min avant la chimiothérapie — IV — NaCl 0,9 % 50 ml — 15 min
• AJOUTER la ligne : SOLUMEDROL (méthylprednisolone) inj. — 60 mg (dose fixe) — Jours 1 — 30 min avant la chimiothérapie — IV — NaCl 0,9 % 50 ml — 15 min
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INDICATION à ajouter : Poumon / thorax &gt; CBPC &gt; Maladie limitée
• INDICATION à ajouter : Poumon / thorax &gt; CBPC &gt; Maladie étendue</t>
  </si>
  <si>
    <t xml:space="preserve">Extrapolé du CBPC (EP)</t>
  </si>
  <si>
    <t xml:space="preserve">N122</t>
  </si>
  <si>
    <t xml:space="preserve">Testicule</t>
  </si>
  <si>
    <t xml:space="preserve">Non-séminome – récidive</t>
  </si>
  <si>
    <t xml:space="preserve">GEMOX : Gemcitabine 1000 J1-J8 + Oxaliplatine 130 J1 / 21 j</t>
  </si>
  <si>
    <t xml:space="preserve">• Manque dans la bibliothèque (référence : Pectasides 2004)</t>
  </si>
  <si>
    <t xml:space="preserve">Rythme : J1 et J8, tous les 21 jours
1. ONSET (ondansétron) 8 mg/4 ml inj. — 8 mg (dose fixe) — Jours 1,8 — 30 min avant la chimiothérapie — IV — NaCl 0,9 % 50 ml — 15 min
2. SOLUMEDROL (méthylprednisolone) inj. — 60 mg (dose fixe) — Jours 1 — 30 min avant la chimiothérapie — IV — NaCl 0,9 % 50 ml — 15 min
3. GEMCITABINE — 1000 mg/m² — Jours 1,8 — IV — NaCl 0,9 % 250 ml — 30 min
4. OXALIPLATINE — 130 mg/m² — Jours 1 — IV — G5 % 250 ml — 2 h</t>
  </si>
  <si>
    <t xml:space="preserve">Oxaliplatine : neuropathie de grade ≥ 2 persistante → réduire ; grade 3 → arrêt
Gemcitabine J8/J15 : PNN ≥ 1,0 et plaquettes ≥ 100 → 100 % ; PNN 0,5-1,0 ou plaquettes 50-100 → 75 % ; en dessous, séance non faite</t>
  </si>
  <si>
    <t xml:space="preserve">Pectasides 2004</t>
  </si>
  <si>
    <t xml:space="preserve">TIP : Paclitaxel 250 J1 + Ifosfamide 1500 + Cisplatine 25 J2-J5 / 21 j</t>
  </si>
  <si>
    <t xml:space="preserve">• Anti-NK1 et olanzapine absents (risque émétique élevé) → ordonnance de sortie
• Cisplatine multi-jours : corticoïde non prolongé après la dernière dose → ordonnance de sortie
• Paclitaxel sans anti-H1 (prévu par le RCP avec le corticoïde)
• Hydratation du cisplatine seulement en remarque (pas de lignes NaCl, KCl, MgSO4)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</si>
  <si>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7,8,9,10,11 (libellé « J7 → J11 : 5 injections ») — à domicile (infirmière), dès 24 h après la fin de la chimiothérapie ; si G-CSF décidé — SC (remplace la ligne « NIVESTIM 30 MU (filgrastim) » sans dose ni durée)
• AJOUTER la ligne : SOLUMEDROL (méthylprednisolone) inj. — 40 mg (dose fixe) — Jours 2,3,4,5 — 30 min avant la chimiothérapie — IV — NaCl 0,9 % 50 ml — 15 min
• AJOUTER la ligne : POLARAMINE (dexchlorphéniramine) 5 mg/1 ml inj. — 5 mg (dose fixe) — Jours 1 — 30 min avant la perfusion — IV lente
• AJOUTER la ligne : HYDRATATION AVANT CISPLATINE : NaCl 0,9 % — 500 ml + KCl 1,5 g + MgSO4 2 g (unité : texte libre) — Jours 2,3,4,5 — en 1 h, avant le cisplatine — IV
• AJOUTER la ligne : HYDRATATION APRÈS CISPLATINE : NaCl 0,9 % — 500 ml (unité : texte libre) — Jours 2,3,4,5 — en 1 h, après le cisplatine ; diurèse ≥ 100 ml/h — IV</t>
  </si>
  <si>
    <t xml:space="preserve">Kondagunta 2005 (MSKCC)</t>
  </si>
  <si>
    <t xml:space="preserve">VeIP : Vinblastine 0,11 mg/kg J1-J2 + Ifosfamide 1200 + Cisplatine 20 J1-J5 / 21 j</t>
  </si>
  <si>
    <t xml:space="preserve">• REMPLACER par : NIVESTIM (filgrastim) 30 MU/0,5 ml — 1 injection SC par jour : 30 MU, 48 MU si poids &gt; 70 kg (unité : texte libre) — Jours 7,8,9,10,11 (libellé « J7 → J11 : 5 injections ») — à domicile (infirmière), dès 24 h après la fin de la chimiothérapie ; si G-CSF décidé — SC (remplace la ligne « NIVESTIM 30 MU (filgrastim) » sans dose ni durée)
• AJOUTER la ligne : HYDRATATION AVANT CISPLATINE : NaCl 0,9 % — 500 ml + KCl 1,5 g + MgSO4 2 g (unité : texte libre) — Jours 1,2,3,4,5 — en 1 h, avant le cisplatine — IV
• AJOUTER la ligne : HYDRATATION APRÈS CISPLATINE : NaCl 0,9 % — 500 ml (unité : texte libre) — Jours 1,2,3,4,5 — en 1 h, après le cisplatine ; diurèse ≥ 100 ml/h — IV</t>
  </si>
  <si>
    <t xml:space="preserve">Cisplatine : DFG ≥ 60 ml/min (45-59 : réduire ou carboplatine) ; magnésémie et audition avant chaque cure
Ifosfamide : DFG ≥ 60 ml/min, hématurie absente ; encéphalopathie → arrêt</t>
  </si>
  <si>
    <t xml:space="preserve">Loehrer 1998</t>
  </si>
  <si>
    <t xml:space="preserve">Séminome – adjuvant</t>
  </si>
  <si>
    <t xml:space="preserve">Carboplatine AUC 7 – dose unique (séminome adjuvant)</t>
  </si>
  <si>
    <t xml:space="preserve">MRC TE19 (Oliver 2005)</t>
  </si>
  <si>
    <t xml:space="preserve">Séminome – métastatique</t>
  </si>
  <si>
    <t xml:space="preserve">BEP / 21 j</t>
  </si>
  <si>
    <t xml:space="preserve">• Bléomycine en texte libre : aucune dose (30 000 UI J1-J8-J15), donc rien de calculé ni de cumulé → Saisir bléomycine 30 000 UI (dose fixe) J1, J8, J15 et ajouter le cumul (seuil 400 000 UI) au moteur de vigilance
• Anti-NK1 et olanzapine absents (risque émétique élevé) → ordonnance de sortie
• Cisplatine multi-jours : corticoïde non prolongé après la dernière dose → ordonnance de sortie
• Hydratation du cisplatine seulement en remarque (pas de lignes NaCl, KCl, MgSO4)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</si>
  <si>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7,8,9,10,11 (libellé « J7 → J11 : 5 injections ») — à domicile (infirmière), dès 24 h après la fin de la chimiothérapie ; si G-CSF décidé — SC (remplace la ligne « NIVESTIM 30 MU (filgrastim) » sans dose ni durée)
• REMPLACER par : BLÉOMYCINE — 30 mg (dose fixe) — Jours 1,8,15 — 30 mg = 30 000 UI — IV — NaCl 0,9 % 100 ml — 15 min (remplace la ligne « BLÉOMYCINE » en texte libre)
• AJOUTER la ligne : HYDRATATION AVANT CISPLATINE : NaCl 0,9 % — 500 ml + KCl 1,5 g + MgSO4 2 g (unité : texte libre) — Jours 1,2,3,4,5 — en 1 h, avant le cisplatine — IV
• AJOUTER la ligne : HYDRATATION APRÈS CISPLATINE : NaCl 0,9 % — 500 ml (unité : texte libre) — Jours 1,2,3,4,5 — en 1 h, après le cisplatine ; diurèse ≥ 100 ml/h — IV
• REMARQUE à ajouter : Bléomycine : cumul maximal 400 000 UI (400 mg) ; DLCO avant le C1 ; arrêt si toux, crépitants ou baisse de la DLCO</t>
  </si>
  <si>
    <t xml:space="preserve">Séances hebdomadaires (J8, J15…) : PNN ≥ 1,0 G/L et plaquettes ≥ 75 G/L
Cisplatine : DFG ≥ 60 ml/min (45-59 : réduire ou carboplatine) ; magnésémie et audition avant chaque cure
Bléomycine : DLCO initiale ; DFG ; cumul ≤ 400 000 UI</t>
  </si>
  <si>
    <t xml:space="preserve">Williams 1987 ; Einhorn</t>
  </si>
  <si>
    <t xml:space="preserve">Urologie › Testicule › Non-séminome – adjuvant
Urologie › Testicule › Non-séminome – métastatique</t>
  </si>
  <si>
    <t xml:space="preserve">EP : Étoposide 100 + Cisplatine 20 J1-J5 / 21 j</t>
  </si>
  <si>
    <t xml:space="preserve">Bosl 1988 ; Culine 2007</t>
  </si>
  <si>
    <t xml:space="preserve">Urologie › Testicule › Non-séminome – métastatique</t>
  </si>
  <si>
    <t xml:space="preserve">VIP : Étoposide 75 + Ifosfamide 1200 + Cisplatine 20 J1-J5 / 21 j</t>
  </si>
  <si>
    <t xml:space="preserve">Nichols 1998</t>
  </si>
  <si>
    <t xml:space="preserve">Vessie / urothélium</t>
  </si>
  <si>
    <t xml:space="preserve">Carboplatine AUC 4,5 J1 + Gemcitabine 1000 J1-J8 / 21 j</t>
  </si>
  <si>
    <t xml:space="preserve">• REMPLACER par : NIVESTIM (filgrastim) 30 MU/0,5 ml — 1 injection SC par jour : 30 MU, 48 MU si poids &gt; 70 kg (unité : texte libre) — Jours 10,11,12,13,14 (libellé « J10 → J14 : 5 injections ») — à domicile (infirmière), dès 24 h après la fin de la chimiothérapie ; si G-CSF décidé — SC (remplace la ligne « NIVESTIM 30 MU (filgrastim) » sans dose ni durée)
• REMARQUE à remplacer : « Patients inéligibles au cisplatine – référence eviQ (EORTC 30986) » → « Patients inéligibles au cisplatine – référence (EORTC 30986) »</t>
  </si>
  <si>
    <t xml:space="preserve">EORTC 30986 (De Santis 2012)</t>
  </si>
  <si>
    <t xml:space="preserve">Urologie › Vessie / urothélium › Avancé / métastatique</t>
  </si>
  <si>
    <t xml:space="preserve">Avélumab 800 mg J1-J15 / 28 j (entretien)</t>
  </si>
  <si>
    <t xml:space="preserve">JAVELIN Bladder 100</t>
  </si>
  <si>
    <t xml:space="preserve">Cisplatine 70 + Gemcitabine + Nivolumab 360 mg (CheckMate 901)</t>
  </si>
  <si>
    <t xml:space="preserve">Cisplatine : DFG ≥ 60 ml/min (45-59 : réduire ou carboplatine) ; magnésémie et audition avant chaque cure
Gemcitabine J8/J15 : PNN ≥ 1,0 et plaquettes ≥ 100 → 100 % ; PNN 0,5-1,0 ou plaquettes 50-100 → 75 % ; en dessous, séance non faite
Immunothérapie : TSH, transaminases, créatinine, glycémie avant chaque cure ; toxicité de grade ≥ 2 → suspendre</t>
  </si>
  <si>
    <t xml:space="preserve">CheckMate 901</t>
  </si>
  <si>
    <t xml:space="preserve">Enfortumab védotin 1,25 mg/kg J1-J8 + Pembrolizumab 200 mg / 21 j (EV-302)</t>
  </si>
  <si>
    <t xml:space="preserve">Séances hebdomadaires (J8, J15…) : PNN ≥ 1,0 G/L et plaquettes ≥ 75 G/L
Immunothérapie : TSH, transaminases, créatinine, glycémie avant chaque cure ; toxicité immunologique de grade ≥ 2 → suspendre
Enfortumab : glycémie &lt; 2,5 g/L ; éruption ou neuropathie de grade ≥ 2 → suspendre</t>
  </si>
  <si>
    <t xml:space="preserve">EV-302</t>
  </si>
  <si>
    <t xml:space="preserve">Enfortumab védotin 1,25 mg/kg J1-J8-J15 / 28 j</t>
  </si>
  <si>
    <t xml:space="preserve">Séances hebdomadaires (J8, J15…) : PNN ≥ 1,0 G/L et plaquettes ≥ 75 G/L
Enfortumab : glycémie &lt; 2,5 g/L ; éruption ou neuropathie de grade ≥ 2 → suspendre</t>
  </si>
  <si>
    <t xml:space="preserve">EV-301</t>
  </si>
  <si>
    <t xml:space="preserve">N123</t>
  </si>
  <si>
    <t xml:space="preserve">Erdafitinib 8 mg/j (FGFR3)</t>
  </si>
  <si>
    <t xml:space="preserve">• Manque dans la bibliothèque (référence : THOR)</t>
  </si>
  <si>
    <t xml:space="preserve">Rythme : En continu ; passage à 9 mg à J14-J21 si phosphorémie &lt; 9 mg/dl et bonne tolérance
1. BALVERSA (erdafitinib) 4 mg cp — 8 mg (dose fixe) — Jours 1 (libellé « J1 → J28 (continu) ») — Per os — 28 jours
Remarques :
- Phosphorémie à J14 ; examen ophtalmologique</t>
  </si>
  <si>
    <t xml:space="preserve">THOR</t>
  </si>
  <si>
    <t xml:space="preserve">MVAC classique / 28 j</t>
  </si>
  <si>
    <t xml:space="preserve">• Anti-NK1 et olanzapine absents (risque émétique élevé) → ordonnance de sortie
• Phase retardée non couverte : pas de corticoïde J2-J4 après le cisplatine (J2) → ordonnance de sortie
• Hydratation du cisplatine seulement en remarque (pas de lignes NaCl, KCl, MgSO4)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</si>
  <si>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4,5,6,7,8,24,25,26,27 (libellé « J4 → J8 et J24 → J27 : 5 + 4 = 9 injections ») — à domicile (infirmière), dès 24 h après la fin de la chimiothérapie ; si G-CSF décidé — SC (remplace la ligne « NIVESTIM 30 MU (filgrastim) » sans dose ni durée)
• AJOUTER la ligne : HYDRATATION AVANT CISPLATINE : NaCl 0,9 % — 1000 ml + KCl 1,5 g + MgSO4 2 g (unité : texte libre) — Jours 2 — en 1 h, avant le cisplatine — IV
• AJOUTER la ligne : HYDRATATION APRÈS CISPLATINE : NaCl 0,9 % — 1000 ml (unité : texte libre) — Jours 2 — en 1 h, après le cisplatine ; diurèse ≥ 100 ml/h — IV</t>
  </si>
  <si>
    <t xml:space="preserve">Loehrer 1992 ; von der Maase 2000 (bras de comparaison)</t>
  </si>
  <si>
    <t xml:space="preserve">Carcinome à petites cellules</t>
  </si>
  <si>
    <t xml:space="preserve">Cisplatine 25 + Étoposide 100 J1-J3 / 21 j</t>
  </si>
  <si>
    <t xml:space="preserve">• AJOUTER la ligne : HYDRATATION AVANT CISPLATINE : NaCl 0,9 % — 500 ml + KCl 1,5 g + MgSO4 2 g (unité : texte libre) — Jours 1,2,3 — en 1 h, avant le cisplatine — IV
• AJOUTER la ligne : HYDRATATION APRÈS CISPLATINE : NaCl 0,9 % — 500 ml (unité : texte libre) — Jours 1,2,3 — en 1 h, après le cisplatine ; diurèse ≥ 100 ml/h — IV</t>
  </si>
  <si>
    <t xml:space="preserve">EP (cisplatine fractionné J1-J3) ; INT 0096 (CBPC limité)</t>
  </si>
  <si>
    <t xml:space="preserve">Poumon / thorax › CBPC › Maladie limitée
Digestif › Tumeurs neuroendocrines › Avancé / métastatique
Poumon / thorax › CBPC › Maladie étendue</t>
  </si>
  <si>
    <t xml:space="preserve">Cisplatine 40 J1-J8 + Gemcitabine 1000 J1-J8 / 21 j (HGC)</t>
  </si>
  <si>
    <t xml:space="preserve">• Anti-NK1 et olanzapine absents (risque émétique élevé) → ordonnance de sortie
• Phase retardée non couverte : pas de corticoïde J2-J4 après le cisplatine (J1,8) → ordonnance de sortie
• Hydratation du cisplatine seulement en remarque (pas de lignes NaCl, KCl, MgSO4)
• G-CSF en texte : ni dose, ni durée → ligne Nivestim structurée (jours et nombre d'injections)</t>
  </si>
  <si>
    <t xml:space="preserve">• REMPLACER par : NIVESTIM (filgrastim) 30 MU/0,5 ml — 1 injection SC par jour : 30 MU, 48 MU si poids &gt; 70 kg (unité : texte libre) — Jours 10,11,12,13,14 (libellé « J10 → J14 : 5 injections ») — à domicile (infirmière), dès 24 h après la fin de la chimiothérapie ; si G-CSF décidé — SC (remplace la ligne « NIVESTIM 30 MU (filgrastim) » sans dose ni durée)
• AJOUTER la ligne : HYDRATATION AVANT CISPLATINE : NaCl 0,9 % — 500 ml + KCl 1,5 g + MgSO4 2 g (unité : texte libre) — Jours 1,8 — en 1 h, avant le cisplatine — IV
• AJOUTER la ligne : HYDRATATION APRÈS CISPLATINE : NaCl 0,9 % — 500 ml (unité : texte libre) — Jours 1,8 — en 1 h, après le cisplatine ; diurèse ≥ 100 ml/h — IV</t>
  </si>
  <si>
    <t xml:space="preserve">Variante locale ; proche : Hussain 2004 (cisplatine 35 mg/m² J1-J8)</t>
  </si>
  <si>
    <t xml:space="preserve">Urologie › Vessie / urothélium › Adjuvant
Urologie › Vessie / urothélium › Avancé / métastatique</t>
  </si>
  <si>
    <t xml:space="preserve">Cisplatine 70 + Gemcitabine + Durvalumab 1500 mg (NIAGARA)</t>
  </si>
  <si>
    <t xml:space="preserve">NIAGARA</t>
  </si>
  <si>
    <t xml:space="preserve">Urologie › Vessie / urothélium › Adjuvant</t>
  </si>
  <si>
    <t xml:space="preserve">Cisplatine 70 J1 + Gemcitabine 1000 J1-J8 / 21 j (eviQ)</t>
  </si>
  <si>
    <t xml:space="preserve">• REMPLACER par : NIVESTIM (filgrastim) 30 MU/0,5 ml — 1 injection SC par jour : 30 MU, 48 MU si poids &gt; 70 kg (unité : texte libre) — Jours 10,11,12,13,14 (libellé « J10 → J14 : 5 injections ») — à domicile (infirmière), dès 24 h après la fin de la chimiothérapie ; si G-CSF décidé — SC (remplace la ligne « NIVESTIM 30 MU (filgrastim) » sans dose ni durée)
• NOM : « Cisplatine 70 J1 + Gemcitabine 1000 J1-J8 / 21 j (eviQ) » → « Cisplatine 70 J1 + Gemcitabine 1000 J1-J8 / 21 j – von der Maase 2000 »
• AJOUTER la ligne : HYDRATATION AVANT CISPLATINE : NaCl 0,9 % — 1000 ml + KCl 1,5 g + MgSO4 2 g (unité : texte libre) — Jours 1 — en 1 h, avant le cisplatine — IV
• AJOUTER la ligne : HYDRATATION APRÈS CISPLATINE : NaCl 0,9 % — 1000 ml (unité : texte libre) — Jours 1 — en 1 h, après le cisplatine ; diurèse ≥ 100 ml/h — IV
• REMARQUE à remplacer : « Référence eviQ (votre fiche d’origine : cisplatine 40 mg/m² fractionné) » → « Référence : von der Maase 2000 – votre fiche d’origine : cisplatine 40 mg/m² fractionné »</t>
  </si>
  <si>
    <t xml:space="preserve">von der Maase 2000</t>
  </si>
  <si>
    <t xml:space="preserve">ddMVAC (dose-dense) / 14 j</t>
  </si>
  <si>
    <t xml:space="preserve">• REMPLACER par : NIVESTIM (filgrastim) 30 MU/0,5 ml — 1 injection SC par jour : 30 MU, 48 MU si poids &gt; 70 kg (unité : texte libre) — Jours 4,5,6,7,8 (libellé « J4 → J8 : 5 injections ») — à domicile (infirmière), dès 24 h après la fin de la chimiothérapie ; si G-CSF décidé — SC (remplace la ligne « NIVESTIM 30 MU (filgrastim) » sans dose ni durée)
• AJOUTER la ligne : HYDRATATION AVANT CISPLATINE : NaCl 0,9 % — 1000 ml + KCl 1,5 g + MgSO4 2 g (unité : texte libre) — Jours 2 — en 1 h, avant le cisplatine — IV
• AJOUTER la ligne : HYDRATATION APRÈS CISPLATINE : NaCl 0,9 % — 1000 ml (unité : texte libre) — Jours 2 — en 1 h, après le cisplatine ; diurèse ≥ 100 ml/h — IV</t>
  </si>
  <si>
    <t xml:space="preserve">VESPER (Pfister 2021)</t>
  </si>
  <si>
    <t xml:space="preserve">Non infiltrant – instillations</t>
  </si>
  <si>
    <t xml:space="preserve">BCG + Mitomycine séquentiels (BCG J1-J8, mitomycine J15) × 3</t>
  </si>
  <si>
    <t xml:space="preserve">Di Stasi 2006</t>
  </si>
  <si>
    <t xml:space="preserve">BCG intravésical hebdomadaire × 6 (induction)</t>
  </si>
  <si>
    <t xml:space="preserve">SWOG 8507 (entretien) ; EAU</t>
  </si>
  <si>
    <t xml:space="preserve">N059</t>
  </si>
  <si>
    <t xml:space="preserve">BCG – entretien : 3 instillations hebdomadaires (M3, M6, puis tous les 6 mois jusqu'à 3 ans)</t>
  </si>
  <si>
    <t xml:space="preserve">• Manque dans la bibliothèque (référence : SWOG 8507 ; EAU)</t>
  </si>
  <si>
    <t xml:space="preserve">Rythme : J1, J8, J15 à chaque période d'entretien
1. BCG (souche disponible) — 1 instillation (unité : texte libre) — Jours 1,8,15 — rétention 2 h — Intravésicale
Remarques :
- Recréer une ligne à chaque période (M3, M6, M12, M18, M24, M30, M36)</t>
  </si>
  <si>
    <t xml:space="preserve">SWOG 8507 ; EAU</t>
  </si>
  <si>
    <t xml:space="preserve">Gemcitabine 1000 mg puis Docétaxel 37,5 mg intravésical hebdomadaire × 6</t>
  </si>
  <si>
    <t xml:space="preserve">Steinberg 2020 (gemcitabine-docétaxel séquentiels)</t>
  </si>
  <si>
    <t xml:space="preserve">Gemcitabine 2000 mg intravésicale hebdomadaire × 6</t>
  </si>
  <si>
    <t xml:space="preserve">EAU (instillations)</t>
  </si>
  <si>
    <t xml:space="preserve">Mitomycine 40 mg intravésicale hebdomadaire × 6</t>
  </si>
  <si>
    <t xml:space="preserve">EAU / AFU (instillations)</t>
  </si>
  <si>
    <t xml:space="preserve">5-FU + Mitomycine + Radiothérapie (BC2001)</t>
  </si>
  <si>
    <t xml:space="preserve">BC2001 (James 2012)</t>
  </si>
  <si>
    <t xml:space="preserve">Ordonnances de sortie : texte à saisir dans Paramètres &gt; Bibliothèques &gt; Ordonnances types (le logiciel devrait les proposer à l'impression après « Valider J1 »)</t>
  </si>
  <si>
    <t xml:space="preserve">Ordonnance (nouveau nom)</t>
  </si>
  <si>
    <t xml:space="preserve">Statut</t>
  </si>
  <si>
    <t xml:space="preserve">Quand l'imprimer</t>
  </si>
  <si>
    <t xml:space="preserve">Contenu : MÉDICAMENT — posologie (une ligne par médicament)</t>
  </si>
  <si>
    <t xml:space="preserve">Ancien nom dans la base</t>
  </si>
  <si>
    <t xml:space="preserve">Modifiée et renommée</t>
  </si>
  <si>
    <t xml:space="preserve">Quand le protocole contient du cisplatine (1 jour) ou de la dacarbazine</t>
  </si>
  <si>
    <t xml:space="preserve">EMEND (aprépitant) 125 mg / 80 mg, boîte de 3 gélules — 1 gélule de 125 mg 1 heure avant la chimiothérapie (J1), puis 1 gélule de 80 mg le matin à J2 et à J3
SOLUPRED (prednisolone) 20 mg — 3 comprimés le matin (soit 60 mg par jour) à J2, J3 et J4
OLANZAPINE (ZYPREXA) 5 mg — 1 comprimé le soir, de J1 à J4 (somnolence : ne pas conduire)
CLOPRAME (métoclopramide) 10 mg — 1 comprimé en cas de nausées, maximum 3 comprimés par jour, pendant 5 jours au maximum
FORLAX (macrogol) 10 g — 1 sachet le matin de J1 à J5 (prévention de la constipation due aux antiémétiques)</t>
  </si>
  <si>
    <t xml:space="preserve">Chimiothérapie très émétisante (cisplatine, AC…)</t>
  </si>
  <si>
    <t xml:space="preserve">Nouvelle</t>
  </si>
  <si>
    <t xml:space="preserve">Quand le protocole associe doxorubicine ou épirubicine et cyclophosphamide (pas de corticoïde après J1 : MASCC/ESMO 2023)</t>
  </si>
  <si>
    <t xml:space="preserve">EMEND (aprépitant) 125 mg / 80 mg, boîte de 3 gélules — 1 gélule de 125 mg 1 heure avant la chimiothérapie (J1), puis 1 gélule de 80 mg le matin à J2 et à J3
OLANZAPINE (ZYPREXA) 5 mg — 1 comprimé le soir, de J1 à J4 (somnolence : ne pas conduire)
CLOPRAME (métoclopramide) 10 mg — 1 comprimé en cas de nausées, maximum 3 comprimés par jour, pendant 5 jours au maximum</t>
  </si>
  <si>
    <t xml:space="preserve">(nouvelle)</t>
  </si>
  <si>
    <t xml:space="preserve">Quand carboplatine AUC ≥ 5, trastuzumab déruxtécan ou sacituzumab ; aussi le cisplatine hebdomadaire + RT</t>
  </si>
  <si>
    <t xml:space="preserve">EMEND (aprépitant) 125 mg / 80 mg, boîte de 3 gélules — 1 gélule de 125 mg 1 heure avant la chimiothérapie (J1), puis 1 gélule de 80 mg le matin à J2 et à J3
CLOPRAME (métoclopramide) 10 mg — 1 comprimé en cas de nausées, maximum 3 comprimés par jour, pendant 5 jours au maximum</t>
  </si>
  <si>
    <t xml:space="preserve">Quand cisplatine 2 jours de suite ou plus dans la cure</t>
  </si>
  <si>
    <t xml:space="preserve">EMEND (aprépitant) 125 mg / 80 mg — 1 gélule de 125 mg à J1, puis 1 gélule de 80 mg chaque matin jusqu'à 2 jours après le dernier jour de cisplatine
SOLUPRED (prednisolone) 20 mg — 3 comprimés le matin les 2 jours qui suivent le dernier jour de cisplatine
OLANZAPINE (ZYPREXA) 5 mg — 1 comprimé le soir, de J1 jusqu'à 2 jours après le dernier jour de cisplatine
CLOPRAME (métoclopramide) 10 mg — 1 comprimé en cas de nausées, maximum 3 comprimés par jour</t>
  </si>
  <si>
    <t xml:space="preserve">Quand risque émétique modéré (MASCC/ESMO 2023 : pas de corticoïde systématique après J1 ; SOLUPRED seulement si nausées retardées à la cure précédente)</t>
  </si>
  <si>
    <t xml:space="preserve">CHEMOSET (ondansétron) 8 mg — 1 comprimé matin et soir en cas de nausées, à J2 et J3 (maximum 2 comprimés par jour)
NAUSELIUM (dompéridone) sirop — 1 cuillère-mesure 3 fois par jour, 15 minutes avant les repas, en cas de nausées</t>
  </si>
  <si>
    <t xml:space="preserve">Pré-chimiothérapie antiémétique</t>
  </si>
  <si>
    <t xml:space="preserve">Quand le protocole contient du docétaxel ≥ 60 mg/m² : remise avec la fiche de prescription pour la C1, puis avec la cure précédente (la prise commence la veille)</t>
  </si>
  <si>
    <t xml:space="preserve">SOLUPRED (prednisolone) 20 mg — 3 comprimés matin et soir la veille, le jour (le soir seulement si corticoïde IV le matin) et le lendemain de la perfusion</t>
  </si>
  <si>
    <t xml:space="preserve">Modifiée</t>
  </si>
  <si>
    <t xml:space="preserve">Quand le protocole contient du pémétrexed</t>
  </si>
  <si>
    <t xml:space="preserve">YOFOLVIT (acide folique) — 1 comprimé par jour, à commencer 7 jours avant la 1re cure et à poursuivre jusqu'à 3 semaines après la dernière cure
VITAMINE B12 1 000 µg, solution injectable — 1 injection intramusculaire 1 semaine avant la 1re cure, puis toutes les 9 semaines
SOLUPRED (prednisolone) 20 mg — 1 comprimé matin et soir la veille, le jour et le lendemain de chaque cure (RCP : dexaméthasone 4 mg × 2 par jour)</t>
  </si>
  <si>
    <t xml:space="preserve">Prémédication pémétrexed (ALIMTA)</t>
  </si>
  <si>
    <t xml:space="preserve">Chimio – Irinotécan : diarrhée retardée</t>
  </si>
  <si>
    <t xml:space="preserve">Quand le protocole contient de l'irinotécan</t>
  </si>
  <si>
    <t xml:space="preserve">LOPERIUM (lopéramide) 2 mg — 2 gélules dès la 1re selle liquide, puis 1 gélule toutes les 2 heures (toutes les 4 heures la nuit), jusqu'à 12 heures sans selle liquide ; ne pas dépasser 48 heures : au-delà, appeler le service
SMECTA (diosmectite) 3 g — 1 sachet 3 fois par jour en cas de diarrhée, à 2 heures d'écart des autres médicaments
Solution de réhydratation orale — Boire au moins 2 litres par jour pendant la diarrhée ; appeler si fièvre ≥ 38,3 °C ou diarrhée avec vomissements</t>
  </si>
  <si>
    <t xml:space="preserve">Quand le protocole contient une ligne NIVESTIM (le Nivestim lui-même est sur la fiche de prescription, pour la prise en charge avec la chimiothérapie)</t>
  </si>
  <si>
    <t xml:space="preserve">PARACÉTAMOL 1 g — 1 comprimé en cas de douleurs osseuses, maximum 4 comprimés par jour
NFS — À J8 si demandé par le médecin</t>
  </si>
  <si>
    <t xml:space="preserve">Quand le protocole contient de la capécitabine (ou du 5-FU en continu)</t>
  </si>
  <si>
    <t xml:space="preserve">CRÈME À L'URÉE 10 % — 1 application matin et soir sur la paume des mains et la plante des pieds, dès J1 et pendant tout le traitement
DEXERYL — 1 application matin et soir en couche fine
LOPERIUM (lopéramide) 2 mg — 2 gélules à la 1re selle liquide puis 1 après chaque selle liquide, maximum 8 par jour ; arrêter la capécitabine et appeler si plus de 4 selles par jour</t>
  </si>
  <si>
    <t xml:space="preserve">Syndrome pieds-mains</t>
  </si>
  <si>
    <t xml:space="preserve">Renommée</t>
  </si>
  <si>
    <t xml:space="preserve">Quand le protocole contient du cétuximab ou du panitumumab (contenu inchangé)</t>
  </si>
  <si>
    <t xml:space="preserve">(contenu actuel inchangé, seul le nom change)</t>
  </si>
  <si>
    <t xml:space="preserve">Éruption acnéiforme (anti-EGFR)</t>
  </si>
  <si>
    <t xml:space="preserve">Chimio – Fièvre sous chimiothérapie : conduite à tenir</t>
  </si>
  <si>
    <t xml:space="preserve">Quand toute chimiothérapie IV (à joindre à la 1re cure)</t>
  </si>
  <si>
    <t xml:space="preserve">Température — Prendre la température en cas de frissons ou de malaise ; si ≥ 38,3 °C une fois ou ≥ 38 °C pendant 1 heure : NFS en urgence et appeler le service
NFS + CRP — En urgence si fièvre, à apporter ou à envoyer au service</t>
  </si>
  <si>
    <t xml:space="preserve">Chimio – Prémédication docétaxel prostate (à prendre à domicile)</t>
  </si>
  <si>
    <t xml:space="preserve">Quand docétaxel dans le cancer de la prostate (RCP : corticoïde 12 h, 3 h et 1 h avant la perfusion ; la prednisone du traitement continue)</t>
  </si>
  <si>
    <t xml:space="preserve">SOLUPRED (prednisolone) 20 mg — 3 comprimés la veille au soir (12 heures avant la perfusion) et 3 comprimés le matin de la perfusion (3 heures avant) ; le Solumedrol IV 1 heure avant est fait au service</t>
  </si>
  <si>
    <t xml:space="preserve">Quand une chimiothérapie orale émétisante (lomustine, procarbazine, témozolomide) est prise à domicile dans un protocole qui comporte aussi des perfusions (ex. PCV)</t>
  </si>
  <si>
    <t xml:space="preserve">CHEMOSET (ondansétron) 8 mg — 1 comprimé 1 heure avant chaque prise de la chimiothérapie orale, les jours de traitement
CLOPRAME (métoclopramide) 10 mg — 1 comprimé en cas de nausées, maximum 3 comprimés par jour, pendant 5 jours au maximum</t>
  </si>
  <si>
    <t xml:space="preserve">Les autres ordonnances types de la base ne changent pas : Diarrhée, Constipation, Nausées et vomissements, Radiodermite et soins cutanés, Soins de bouche (mucite, sécheresse), Douleurs – paliers 1, Douleurs – palier 1 et 2, Douleurs – palier 3 (morphine), Douleurs neuropathiques, Rectite radique et proctologie, Troubles urinaires, Hormonothérapie sein – anti-aromatase, Hormonothérapie sein – tamoxifène, Dysphagie et reflux, Corticothérapie et prophylaxie, Infections et mycoses cutanées, Infection – antibiothérapie orale, Mycose génitale, Radiothérapie pelvienne – soins gynécologiques, Préparation digestive avant radiothérapie, Nutrition.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</si>
</sst>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8DDF3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CE4C4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DDEBF7"/>
        </patternFill>
      </fill>
    </dxf>
    <dxf>
      <fill>
        <patternFill>
          <bgColor rgb="FFFCE4C4"/>
        </patternFill>
      </fill>
    </dxf>
    <dxf>
      <fill>
        <patternFill>
          <bgColor rgb="FFF4C7C3"/>
        </patternFill>
      </fill>
    </dxf>
    <dxf>
      <fill>
        <patternFill>
          <bgColor rgb="FFE8DDF3"/>
        </patternFill>
      </fill>
    </dxf>
    <dxf>
      <font>
        <name val="Arial"/>
        <charset val="1"/>
        <family val="0"/>
        <color rgb="FF808080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C4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DDF3"/>
      <rgbColor rgb="FFE2F0D9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G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17"/>
    <col collapsed="false" customWidth="true" hidden="false" outlineLevel="0" max="6" min="6" style="0" width="32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44"/>
    <col collapsed="false" customWidth="true" hidden="false" outlineLevel="0" max="12" min="12" style="0" width="80"/>
    <col collapsed="false" customWidth="true" hidden="false" outlineLevel="0" max="14" min="13" style="0" width="38"/>
    <col collapsed="false" customWidth="true" hidden="false" outlineLevel="0" max="15" min="15" style="0" width="28"/>
    <col collapsed="false" customWidth="true" hidden="false" outlineLevel="0" max="16" min="16" style="0" width="38"/>
  </cols>
  <sheetData>
    <row r="1" customFormat="false" ht="17.35" hidden="false" customHeight="false" outlineLevel="0" collapsed="false">
      <c r="A1" s="1" t="s">
        <v>0</v>
      </c>
    </row>
    <row r="2" customFormat="false" ht="15.75" hidden="false" customHeight="true" outlineLevel="0" collapsed="false">
      <c r="A2" s="2" t="str">
        <f aca="false">"Existants : "&amp;COUNTIF(G6:G444,"&lt;&gt;À créer")&amp;"   ·   À garder : "&amp;COUNTIF(G6:G444,"À garder")&amp;"   ·   À ajuster : "&amp;COUNTIF(G6:G444,"À ajuster")&amp;"   ·   À modifier : "&amp;COUNTIF(G6:G444,"À modifier")&amp;"   ·   À supprimer : "&amp;COUNTIF(G6:G444,"À supprimer")&amp;"   ·   À créer : "&amp;COUNTIF(G6:G444,"À créer")&amp;"   ·   Faits : "&amp;COUNTIF(I6:I444,"Oui")&amp;" sur "&amp;COUNTA(F6:F444)</f>
        <v>Existants : 316   ·   À garder : 113   ·   À ajuster : 184   ·   À modifier : 9   ·   À supprimer : 10   ·   À créer : 123   ·   Faits : 0 sur 439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5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39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5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customFormat="false" ht="153" hidden="false" customHeight="true" outlineLevel="0" collapsed="false">
      <c r="A6" s="5" t="s">
        <v>19</v>
      </c>
      <c r="B6" s="6" t="s">
        <v>20</v>
      </c>
      <c r="C6" s="6" t="s">
        <v>21</v>
      </c>
      <c r="D6" s="6" t="s">
        <v>22</v>
      </c>
      <c r="E6" s="6"/>
      <c r="F6" s="7" t="s">
        <v>23</v>
      </c>
      <c r="G6" s="7" t="s">
        <v>24</v>
      </c>
      <c r="H6" s="5" t="n">
        <v>4</v>
      </c>
      <c r="I6" s="6"/>
      <c r="J6" s="5" t="n">
        <v>28</v>
      </c>
      <c r="K6" s="6" t="s">
        <v>25</v>
      </c>
      <c r="L6" s="6" t="s">
        <v>26</v>
      </c>
      <c r="M6" s="6" t="s">
        <v>27</v>
      </c>
      <c r="N6" s="6" t="s">
        <v>28</v>
      </c>
      <c r="O6" s="6" t="s">
        <v>29</v>
      </c>
      <c r="P6" s="6"/>
    </row>
    <row r="7" customFormat="false" ht="72.75" hidden="false" customHeight="true" outlineLevel="0" collapsed="false">
      <c r="A7" s="5" t="n">
        <v>108</v>
      </c>
      <c r="B7" s="6" t="s">
        <v>20</v>
      </c>
      <c r="C7" s="6" t="s">
        <v>21</v>
      </c>
      <c r="D7" s="6" t="s">
        <v>22</v>
      </c>
      <c r="E7" s="6"/>
      <c r="F7" s="7" t="s">
        <v>30</v>
      </c>
      <c r="G7" s="7" t="s">
        <v>31</v>
      </c>
      <c r="H7" s="5" t="n">
        <v>2</v>
      </c>
      <c r="I7" s="6"/>
      <c r="J7" s="5" t="n">
        <v>28</v>
      </c>
      <c r="K7" s="6" t="s">
        <v>32</v>
      </c>
      <c r="L7" s="6" t="s">
        <v>33</v>
      </c>
      <c r="M7" s="6" t="s">
        <v>27</v>
      </c>
      <c r="N7" s="6" t="s">
        <v>28</v>
      </c>
      <c r="O7" s="6" t="s">
        <v>34</v>
      </c>
      <c r="P7" s="6"/>
    </row>
    <row r="8" customFormat="false" ht="39" hidden="false" customHeight="true" outlineLevel="0" collapsed="false">
      <c r="A8" s="5" t="n">
        <v>107</v>
      </c>
      <c r="B8" s="6" t="s">
        <v>20</v>
      </c>
      <c r="C8" s="6" t="s">
        <v>21</v>
      </c>
      <c r="D8" s="6" t="s">
        <v>35</v>
      </c>
      <c r="E8" s="6"/>
      <c r="F8" s="7" t="s">
        <v>36</v>
      </c>
      <c r="G8" s="7" t="s">
        <v>31</v>
      </c>
      <c r="H8" s="5" t="n">
        <v>3</v>
      </c>
      <c r="I8" s="6"/>
      <c r="J8" s="5" t="n">
        <v>0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/>
    </row>
    <row r="9" customFormat="false" ht="27.75" hidden="false" customHeight="true" outlineLevel="0" collapsed="false">
      <c r="A9" s="5" t="n">
        <v>106</v>
      </c>
      <c r="B9" s="6" t="s">
        <v>20</v>
      </c>
      <c r="C9" s="6" t="s">
        <v>21</v>
      </c>
      <c r="D9" s="6" t="s">
        <v>35</v>
      </c>
      <c r="E9" s="6"/>
      <c r="F9" s="7" t="s">
        <v>42</v>
      </c>
      <c r="G9" s="7" t="s">
        <v>31</v>
      </c>
      <c r="H9" s="5" t="n">
        <v>3</v>
      </c>
      <c r="I9" s="6"/>
      <c r="J9" s="5" t="n">
        <v>0</v>
      </c>
      <c r="K9" s="6" t="s">
        <v>43</v>
      </c>
      <c r="L9" s="6" t="s">
        <v>44</v>
      </c>
      <c r="M9" s="6" t="s">
        <v>45</v>
      </c>
      <c r="N9" s="6" t="s">
        <v>40</v>
      </c>
      <c r="O9" s="6" t="s">
        <v>46</v>
      </c>
      <c r="P9" s="6"/>
    </row>
    <row r="10" customFormat="false" ht="50.25" hidden="false" customHeight="true" outlineLevel="0" collapsed="false">
      <c r="A10" s="5" t="n">
        <v>145</v>
      </c>
      <c r="B10" s="6" t="s">
        <v>20</v>
      </c>
      <c r="C10" s="6" t="s">
        <v>47</v>
      </c>
      <c r="D10" s="6" t="s">
        <v>48</v>
      </c>
      <c r="E10" s="6"/>
      <c r="F10" s="7" t="s">
        <v>49</v>
      </c>
      <c r="G10" s="7" t="s">
        <v>50</v>
      </c>
      <c r="H10" s="5"/>
      <c r="I10" s="6"/>
      <c r="J10" s="5" t="n">
        <v>21</v>
      </c>
      <c r="K10" s="6" t="s">
        <v>51</v>
      </c>
      <c r="L10" s="6"/>
      <c r="M10" s="6" t="s">
        <v>52</v>
      </c>
      <c r="N10" s="6"/>
      <c r="O10" s="6" t="s">
        <v>53</v>
      </c>
      <c r="P10" s="6"/>
    </row>
    <row r="11" customFormat="false" ht="27.75" hidden="false" customHeight="true" outlineLevel="0" collapsed="false">
      <c r="A11" s="5" t="n">
        <v>149</v>
      </c>
      <c r="B11" s="6" t="s">
        <v>20</v>
      </c>
      <c r="C11" s="6" t="s">
        <v>47</v>
      </c>
      <c r="D11" s="6" t="s">
        <v>48</v>
      </c>
      <c r="E11" s="6"/>
      <c r="F11" s="7" t="s">
        <v>54</v>
      </c>
      <c r="G11" s="7" t="s">
        <v>50</v>
      </c>
      <c r="H11" s="5"/>
      <c r="I11" s="6"/>
      <c r="J11" s="5" t="n">
        <v>28</v>
      </c>
      <c r="K11" s="6" t="s">
        <v>51</v>
      </c>
      <c r="L11" s="6"/>
      <c r="M11" s="6"/>
      <c r="N11" s="6"/>
      <c r="O11" s="6" t="s">
        <v>55</v>
      </c>
      <c r="P11" s="6" t="s">
        <v>56</v>
      </c>
    </row>
    <row r="12" customFormat="false" ht="61.5" hidden="false" customHeight="true" outlineLevel="0" collapsed="false">
      <c r="A12" s="5" t="s">
        <v>57</v>
      </c>
      <c r="B12" s="6" t="s">
        <v>20</v>
      </c>
      <c r="C12" s="6" t="s">
        <v>47</v>
      </c>
      <c r="D12" s="6" t="s">
        <v>48</v>
      </c>
      <c r="E12" s="6"/>
      <c r="F12" s="7" t="s">
        <v>58</v>
      </c>
      <c r="G12" s="7" t="s">
        <v>24</v>
      </c>
      <c r="H12" s="5" t="n">
        <v>4</v>
      </c>
      <c r="I12" s="6"/>
      <c r="J12" s="5" t="n">
        <v>21</v>
      </c>
      <c r="K12" s="6" t="s">
        <v>59</v>
      </c>
      <c r="L12" s="6" t="s">
        <v>60</v>
      </c>
      <c r="M12" s="6" t="s">
        <v>61</v>
      </c>
      <c r="N12" s="6"/>
      <c r="O12" s="6" t="s">
        <v>62</v>
      </c>
      <c r="P12" s="6"/>
    </row>
    <row r="13" customFormat="false" ht="27.75" hidden="false" customHeight="true" outlineLevel="0" collapsed="false">
      <c r="A13" s="5" t="n">
        <v>148</v>
      </c>
      <c r="B13" s="6" t="s">
        <v>20</v>
      </c>
      <c r="C13" s="6" t="s">
        <v>47</v>
      </c>
      <c r="D13" s="6" t="s">
        <v>48</v>
      </c>
      <c r="E13" s="6"/>
      <c r="F13" s="7" t="s">
        <v>63</v>
      </c>
      <c r="G13" s="7" t="s">
        <v>50</v>
      </c>
      <c r="H13" s="5"/>
      <c r="I13" s="6"/>
      <c r="J13" s="5" t="n">
        <v>28</v>
      </c>
      <c r="K13" s="6" t="s">
        <v>51</v>
      </c>
      <c r="L13" s="6"/>
      <c r="M13" s="6"/>
      <c r="N13" s="6"/>
      <c r="O13" s="6" t="s">
        <v>64</v>
      </c>
      <c r="P13" s="6"/>
    </row>
    <row r="14" customFormat="false" ht="72.75" hidden="false" customHeight="true" outlineLevel="0" collapsed="false">
      <c r="A14" s="5" t="s">
        <v>65</v>
      </c>
      <c r="B14" s="6" t="s">
        <v>20</v>
      </c>
      <c r="C14" s="6" t="s">
        <v>47</v>
      </c>
      <c r="D14" s="6" t="s">
        <v>48</v>
      </c>
      <c r="E14" s="6"/>
      <c r="F14" s="7" t="s">
        <v>66</v>
      </c>
      <c r="G14" s="7" t="s">
        <v>24</v>
      </c>
      <c r="H14" s="5" t="n">
        <v>4</v>
      </c>
      <c r="I14" s="6"/>
      <c r="J14" s="5" t="n">
        <v>28</v>
      </c>
      <c r="K14" s="6" t="s">
        <v>67</v>
      </c>
      <c r="L14" s="6" t="s">
        <v>68</v>
      </c>
      <c r="M14" s="6" t="s">
        <v>69</v>
      </c>
      <c r="N14" s="6"/>
      <c r="O14" s="6" t="s">
        <v>70</v>
      </c>
      <c r="P14" s="6"/>
    </row>
    <row r="15" customFormat="false" ht="27.75" hidden="false" customHeight="true" outlineLevel="0" collapsed="false">
      <c r="A15" s="5" t="n">
        <v>147</v>
      </c>
      <c r="B15" s="6" t="s">
        <v>20</v>
      </c>
      <c r="C15" s="6" t="s">
        <v>47</v>
      </c>
      <c r="D15" s="6" t="s">
        <v>48</v>
      </c>
      <c r="E15" s="6"/>
      <c r="F15" s="7" t="s">
        <v>71</v>
      </c>
      <c r="G15" s="7" t="s">
        <v>50</v>
      </c>
      <c r="H15" s="5"/>
      <c r="I15" s="6"/>
      <c r="J15" s="5" t="n">
        <v>28</v>
      </c>
      <c r="K15" s="6" t="s">
        <v>51</v>
      </c>
      <c r="L15" s="6"/>
      <c r="M15" s="6"/>
      <c r="N15" s="6"/>
      <c r="O15" s="6" t="s">
        <v>72</v>
      </c>
      <c r="P15" s="6" t="s">
        <v>73</v>
      </c>
    </row>
    <row r="16" customFormat="false" ht="27.75" hidden="false" customHeight="true" outlineLevel="0" collapsed="false">
      <c r="A16" s="5" t="n">
        <v>146</v>
      </c>
      <c r="B16" s="6" t="s">
        <v>20</v>
      </c>
      <c r="C16" s="6" t="s">
        <v>47</v>
      </c>
      <c r="D16" s="6" t="s">
        <v>48</v>
      </c>
      <c r="E16" s="6"/>
      <c r="F16" s="7" t="s">
        <v>74</v>
      </c>
      <c r="G16" s="7" t="s">
        <v>50</v>
      </c>
      <c r="H16" s="5"/>
      <c r="I16" s="6"/>
      <c r="J16" s="5" t="n">
        <v>28</v>
      </c>
      <c r="K16" s="6" t="s">
        <v>51</v>
      </c>
      <c r="L16" s="6"/>
      <c r="M16" s="6" t="s">
        <v>75</v>
      </c>
      <c r="N16" s="6"/>
      <c r="O16" s="6" t="s">
        <v>76</v>
      </c>
      <c r="P16" s="6"/>
    </row>
    <row r="17" customFormat="false" ht="141.75" hidden="false" customHeight="true" outlineLevel="0" collapsed="false">
      <c r="A17" s="5" t="n">
        <v>292</v>
      </c>
      <c r="B17" s="6" t="s">
        <v>20</v>
      </c>
      <c r="C17" s="6" t="s">
        <v>77</v>
      </c>
      <c r="D17" s="6" t="s">
        <v>78</v>
      </c>
      <c r="E17" s="6"/>
      <c r="F17" s="7" t="s">
        <v>79</v>
      </c>
      <c r="G17" s="7" t="s">
        <v>31</v>
      </c>
      <c r="H17" s="5" t="n">
        <v>2</v>
      </c>
      <c r="I17" s="6"/>
      <c r="J17" s="5" t="n">
        <v>28</v>
      </c>
      <c r="K17" s="6" t="s">
        <v>80</v>
      </c>
      <c r="L17" s="6" t="s">
        <v>81</v>
      </c>
      <c r="M17" s="6" t="s">
        <v>82</v>
      </c>
      <c r="N17" s="6" t="s">
        <v>83</v>
      </c>
      <c r="O17" s="6" t="s">
        <v>84</v>
      </c>
      <c r="P17" s="6" t="s">
        <v>85</v>
      </c>
    </row>
    <row r="18" customFormat="false" ht="107.25" hidden="false" customHeight="true" outlineLevel="0" collapsed="false">
      <c r="A18" s="5" t="n">
        <v>6</v>
      </c>
      <c r="B18" s="6" t="s">
        <v>20</v>
      </c>
      <c r="C18" s="6" t="s">
        <v>77</v>
      </c>
      <c r="D18" s="6" t="s">
        <v>78</v>
      </c>
      <c r="E18" s="6"/>
      <c r="F18" s="7" t="s">
        <v>86</v>
      </c>
      <c r="G18" s="7" t="s">
        <v>31</v>
      </c>
      <c r="H18" s="5" t="n">
        <v>3</v>
      </c>
      <c r="I18" s="6"/>
      <c r="J18" s="5" t="n">
        <v>21</v>
      </c>
      <c r="K18" s="6" t="s">
        <v>87</v>
      </c>
      <c r="L18" s="6" t="s">
        <v>88</v>
      </c>
      <c r="M18" s="6" t="s">
        <v>89</v>
      </c>
      <c r="N18" s="6" t="s">
        <v>83</v>
      </c>
      <c r="O18" s="6" t="s">
        <v>90</v>
      </c>
      <c r="P18" s="6" t="s">
        <v>91</v>
      </c>
    </row>
    <row r="19" customFormat="false" ht="84.75" hidden="false" customHeight="true" outlineLevel="0" collapsed="false">
      <c r="A19" s="5" t="s">
        <v>92</v>
      </c>
      <c r="B19" s="6" t="s">
        <v>20</v>
      </c>
      <c r="C19" s="6" t="s">
        <v>77</v>
      </c>
      <c r="D19" s="6" t="s">
        <v>22</v>
      </c>
      <c r="E19" s="6"/>
      <c r="F19" s="7" t="s">
        <v>93</v>
      </c>
      <c r="G19" s="7" t="s">
        <v>24</v>
      </c>
      <c r="H19" s="5" t="n">
        <v>4</v>
      </c>
      <c r="I19" s="6"/>
      <c r="J19" s="5" t="n">
        <v>56</v>
      </c>
      <c r="K19" s="6" t="s">
        <v>94</v>
      </c>
      <c r="L19" s="6" t="s">
        <v>95</v>
      </c>
      <c r="M19" s="6" t="s">
        <v>96</v>
      </c>
      <c r="N19" s="6" t="s">
        <v>40</v>
      </c>
      <c r="O19" s="6" t="s">
        <v>97</v>
      </c>
      <c r="P19" s="6" t="s">
        <v>98</v>
      </c>
    </row>
    <row r="20" customFormat="false" ht="50.25" hidden="false" customHeight="true" outlineLevel="0" collapsed="false">
      <c r="A20" s="5" t="n">
        <v>91</v>
      </c>
      <c r="B20" s="6" t="s">
        <v>20</v>
      </c>
      <c r="C20" s="6" t="s">
        <v>77</v>
      </c>
      <c r="D20" s="6" t="s">
        <v>22</v>
      </c>
      <c r="E20" s="6"/>
      <c r="F20" s="7" t="s">
        <v>99</v>
      </c>
      <c r="G20" s="7" t="s">
        <v>50</v>
      </c>
      <c r="H20" s="5"/>
      <c r="I20" s="6"/>
      <c r="J20" s="5" t="n">
        <v>21</v>
      </c>
      <c r="K20" s="6" t="s">
        <v>51</v>
      </c>
      <c r="L20" s="6"/>
      <c r="M20" s="6" t="s">
        <v>100</v>
      </c>
      <c r="N20" s="6" t="s">
        <v>40</v>
      </c>
      <c r="O20" s="6" t="s">
        <v>101</v>
      </c>
      <c r="P20" s="6"/>
    </row>
    <row r="21" customFormat="false" ht="72.75" hidden="false" customHeight="true" outlineLevel="0" collapsed="false">
      <c r="A21" s="5" t="n">
        <v>97</v>
      </c>
      <c r="B21" s="6" t="s">
        <v>20</v>
      </c>
      <c r="C21" s="6" t="s">
        <v>77</v>
      </c>
      <c r="D21" s="6" t="s">
        <v>22</v>
      </c>
      <c r="E21" s="6"/>
      <c r="F21" s="7" t="s">
        <v>102</v>
      </c>
      <c r="G21" s="7" t="s">
        <v>31</v>
      </c>
      <c r="H21" s="5" t="n">
        <v>2</v>
      </c>
      <c r="I21" s="6"/>
      <c r="J21" s="5" t="n">
        <v>28</v>
      </c>
      <c r="K21" s="6" t="s">
        <v>103</v>
      </c>
      <c r="L21" s="6" t="s">
        <v>104</v>
      </c>
      <c r="M21" s="6" t="s">
        <v>105</v>
      </c>
      <c r="N21" s="6" t="s">
        <v>106</v>
      </c>
      <c r="O21" s="6" t="s">
        <v>107</v>
      </c>
      <c r="P21" s="6"/>
    </row>
    <row r="22" customFormat="false" ht="198.75" hidden="false" customHeight="true" outlineLevel="0" collapsed="false">
      <c r="A22" s="5" t="s">
        <v>108</v>
      </c>
      <c r="B22" s="6" t="s">
        <v>20</v>
      </c>
      <c r="C22" s="6" t="s">
        <v>77</v>
      </c>
      <c r="D22" s="6" t="s">
        <v>22</v>
      </c>
      <c r="E22" s="6"/>
      <c r="F22" s="7" t="s">
        <v>109</v>
      </c>
      <c r="G22" s="7" t="s">
        <v>24</v>
      </c>
      <c r="H22" s="5" t="n">
        <v>3</v>
      </c>
      <c r="I22" s="6"/>
      <c r="J22" s="5" t="n">
        <v>28</v>
      </c>
      <c r="K22" s="6" t="s">
        <v>110</v>
      </c>
      <c r="L22" s="6" t="s">
        <v>111</v>
      </c>
      <c r="M22" s="6" t="s">
        <v>112</v>
      </c>
      <c r="N22" s="6" t="s">
        <v>113</v>
      </c>
      <c r="O22" s="6" t="s">
        <v>114</v>
      </c>
      <c r="P22" s="6"/>
    </row>
    <row r="23" customFormat="false" ht="84.75" hidden="false" customHeight="true" outlineLevel="0" collapsed="false">
      <c r="A23" s="5" t="n">
        <v>100</v>
      </c>
      <c r="B23" s="6" t="s">
        <v>20</v>
      </c>
      <c r="C23" s="6" t="s">
        <v>77</v>
      </c>
      <c r="D23" s="6" t="s">
        <v>22</v>
      </c>
      <c r="E23" s="6"/>
      <c r="F23" s="7" t="s">
        <v>115</v>
      </c>
      <c r="G23" s="7" t="s">
        <v>31</v>
      </c>
      <c r="H23" s="5" t="n">
        <v>2</v>
      </c>
      <c r="I23" s="6"/>
      <c r="J23" s="5" t="n">
        <v>28</v>
      </c>
      <c r="K23" s="6" t="s">
        <v>116</v>
      </c>
      <c r="L23" s="6" t="s">
        <v>117</v>
      </c>
      <c r="M23" s="6" t="s">
        <v>118</v>
      </c>
      <c r="N23" s="6" t="s">
        <v>119</v>
      </c>
      <c r="O23" s="6" t="s">
        <v>120</v>
      </c>
      <c r="P23" s="6"/>
    </row>
    <row r="24" customFormat="false" ht="175.5" hidden="false" customHeight="true" outlineLevel="0" collapsed="false">
      <c r="A24" s="5" t="s">
        <v>121</v>
      </c>
      <c r="B24" s="6" t="s">
        <v>20</v>
      </c>
      <c r="C24" s="6" t="s">
        <v>77</v>
      </c>
      <c r="D24" s="6" t="s">
        <v>22</v>
      </c>
      <c r="E24" s="6"/>
      <c r="F24" s="7" t="s">
        <v>122</v>
      </c>
      <c r="G24" s="7" t="s">
        <v>24</v>
      </c>
      <c r="H24" s="5" t="n">
        <v>4</v>
      </c>
      <c r="I24" s="6"/>
      <c r="J24" s="5" t="n">
        <v>28</v>
      </c>
      <c r="K24" s="6" t="s">
        <v>123</v>
      </c>
      <c r="L24" s="6" t="s">
        <v>124</v>
      </c>
      <c r="M24" s="6" t="s">
        <v>125</v>
      </c>
      <c r="N24" s="6" t="s">
        <v>126</v>
      </c>
      <c r="O24" s="6" t="s">
        <v>127</v>
      </c>
      <c r="P24" s="6"/>
    </row>
    <row r="25" customFormat="false" ht="118.5" hidden="false" customHeight="true" outlineLevel="0" collapsed="false">
      <c r="A25" s="5" t="n">
        <v>93</v>
      </c>
      <c r="B25" s="6" t="s">
        <v>20</v>
      </c>
      <c r="C25" s="6" t="s">
        <v>77</v>
      </c>
      <c r="D25" s="6" t="s">
        <v>22</v>
      </c>
      <c r="E25" s="6"/>
      <c r="F25" s="7" t="s">
        <v>128</v>
      </c>
      <c r="G25" s="7" t="s">
        <v>31</v>
      </c>
      <c r="H25" s="5" t="n">
        <v>2</v>
      </c>
      <c r="I25" s="6"/>
      <c r="J25" s="5" t="n">
        <v>28</v>
      </c>
      <c r="K25" s="6" t="s">
        <v>129</v>
      </c>
      <c r="L25" s="6" t="s">
        <v>130</v>
      </c>
      <c r="M25" s="6" t="s">
        <v>131</v>
      </c>
      <c r="N25" s="6" t="s">
        <v>126</v>
      </c>
      <c r="O25" s="6" t="s">
        <v>132</v>
      </c>
      <c r="P25" s="6"/>
    </row>
    <row r="26" customFormat="false" ht="153" hidden="false" customHeight="true" outlineLevel="0" collapsed="false">
      <c r="A26" s="5" t="n">
        <v>294</v>
      </c>
      <c r="B26" s="6" t="s">
        <v>20</v>
      </c>
      <c r="C26" s="6" t="s">
        <v>77</v>
      </c>
      <c r="D26" s="6" t="s">
        <v>22</v>
      </c>
      <c r="E26" s="6"/>
      <c r="F26" s="7" t="s">
        <v>133</v>
      </c>
      <c r="G26" s="7" t="s">
        <v>31</v>
      </c>
      <c r="H26" s="5" t="n">
        <v>2</v>
      </c>
      <c r="I26" s="6"/>
      <c r="J26" s="5" t="n">
        <v>28</v>
      </c>
      <c r="K26" s="6" t="s">
        <v>134</v>
      </c>
      <c r="L26" s="6" t="s">
        <v>135</v>
      </c>
      <c r="M26" s="6" t="s">
        <v>136</v>
      </c>
      <c r="N26" s="6" t="s">
        <v>137</v>
      </c>
      <c r="O26" s="6" t="s">
        <v>138</v>
      </c>
      <c r="P26" s="6"/>
    </row>
    <row r="27" customFormat="false" ht="96" hidden="false" customHeight="true" outlineLevel="0" collapsed="false">
      <c r="A27" s="5" t="n">
        <v>99</v>
      </c>
      <c r="B27" s="6" t="s">
        <v>20</v>
      </c>
      <c r="C27" s="6" t="s">
        <v>77</v>
      </c>
      <c r="D27" s="6" t="s">
        <v>22</v>
      </c>
      <c r="E27" s="6"/>
      <c r="F27" s="7" t="s">
        <v>139</v>
      </c>
      <c r="G27" s="7" t="s">
        <v>31</v>
      </c>
      <c r="H27" s="5" t="n">
        <v>2</v>
      </c>
      <c r="I27" s="6"/>
      <c r="J27" s="5" t="n">
        <v>28</v>
      </c>
      <c r="K27" s="6" t="s">
        <v>140</v>
      </c>
      <c r="L27" s="6" t="s">
        <v>141</v>
      </c>
      <c r="M27" s="6" t="s">
        <v>136</v>
      </c>
      <c r="N27" s="6" t="s">
        <v>137</v>
      </c>
      <c r="O27" s="6" t="s">
        <v>142</v>
      </c>
      <c r="P27" s="6"/>
    </row>
    <row r="28" customFormat="false" ht="72.75" hidden="false" customHeight="true" outlineLevel="0" collapsed="false">
      <c r="A28" s="5" t="n">
        <v>293</v>
      </c>
      <c r="B28" s="6" t="s">
        <v>20</v>
      </c>
      <c r="C28" s="6" t="s">
        <v>77</v>
      </c>
      <c r="D28" s="6" t="s">
        <v>22</v>
      </c>
      <c r="E28" s="6"/>
      <c r="F28" s="7" t="s">
        <v>143</v>
      </c>
      <c r="G28" s="7" t="s">
        <v>31</v>
      </c>
      <c r="H28" s="5" t="n">
        <v>2</v>
      </c>
      <c r="I28" s="6"/>
      <c r="J28" s="5" t="n">
        <v>28</v>
      </c>
      <c r="K28" s="6" t="s">
        <v>80</v>
      </c>
      <c r="L28" s="6" t="s">
        <v>144</v>
      </c>
      <c r="M28" s="6" t="s">
        <v>125</v>
      </c>
      <c r="N28" s="6" t="s">
        <v>126</v>
      </c>
      <c r="O28" s="6" t="s">
        <v>145</v>
      </c>
      <c r="P28" s="6" t="s">
        <v>146</v>
      </c>
    </row>
    <row r="29" customFormat="false" ht="96" hidden="false" customHeight="true" outlineLevel="0" collapsed="false">
      <c r="A29" s="5" t="n">
        <v>94</v>
      </c>
      <c r="B29" s="6" t="s">
        <v>20</v>
      </c>
      <c r="C29" s="6" t="s">
        <v>77</v>
      </c>
      <c r="D29" s="6" t="s">
        <v>22</v>
      </c>
      <c r="E29" s="6"/>
      <c r="F29" s="7" t="s">
        <v>147</v>
      </c>
      <c r="G29" s="7" t="s">
        <v>31</v>
      </c>
      <c r="H29" s="5" t="n">
        <v>3</v>
      </c>
      <c r="I29" s="6"/>
      <c r="J29" s="5" t="n">
        <v>28</v>
      </c>
      <c r="K29" s="6" t="s">
        <v>148</v>
      </c>
      <c r="L29" s="6" t="s">
        <v>149</v>
      </c>
      <c r="M29" s="6" t="s">
        <v>150</v>
      </c>
      <c r="N29" s="6" t="s">
        <v>151</v>
      </c>
      <c r="O29" s="6" t="s">
        <v>152</v>
      </c>
      <c r="P29" s="6"/>
    </row>
    <row r="30" customFormat="false" ht="96" hidden="false" customHeight="true" outlineLevel="0" collapsed="false">
      <c r="A30" s="5" t="n">
        <v>90</v>
      </c>
      <c r="B30" s="6" t="s">
        <v>20</v>
      </c>
      <c r="C30" s="6" t="s">
        <v>77</v>
      </c>
      <c r="D30" s="6" t="s">
        <v>22</v>
      </c>
      <c r="E30" s="6"/>
      <c r="F30" s="7" t="s">
        <v>153</v>
      </c>
      <c r="G30" s="7" t="s">
        <v>31</v>
      </c>
      <c r="H30" s="5" t="n">
        <v>3</v>
      </c>
      <c r="I30" s="6"/>
      <c r="J30" s="5" t="n">
        <v>28</v>
      </c>
      <c r="K30" s="6" t="s">
        <v>148</v>
      </c>
      <c r="L30" s="6" t="s">
        <v>149</v>
      </c>
      <c r="M30" s="6" t="s">
        <v>154</v>
      </c>
      <c r="N30" s="6" t="s">
        <v>151</v>
      </c>
      <c r="O30" s="6" t="s">
        <v>155</v>
      </c>
      <c r="P30" s="6"/>
    </row>
    <row r="31" customFormat="false" ht="50.25" hidden="false" customHeight="true" outlineLevel="0" collapsed="false">
      <c r="A31" s="5" t="s">
        <v>156</v>
      </c>
      <c r="B31" s="6" t="s">
        <v>20</v>
      </c>
      <c r="C31" s="6" t="s">
        <v>77</v>
      </c>
      <c r="D31" s="6" t="s">
        <v>22</v>
      </c>
      <c r="E31" s="6"/>
      <c r="F31" s="7" t="s">
        <v>157</v>
      </c>
      <c r="G31" s="7" t="s">
        <v>24</v>
      </c>
      <c r="H31" s="5" t="n">
        <v>4</v>
      </c>
      <c r="I31" s="6"/>
      <c r="J31" s="5" t="n">
        <v>28</v>
      </c>
      <c r="K31" s="6" t="s">
        <v>158</v>
      </c>
      <c r="L31" s="6" t="s">
        <v>159</v>
      </c>
      <c r="M31" s="6"/>
      <c r="N31" s="6"/>
      <c r="O31" s="6" t="s">
        <v>160</v>
      </c>
      <c r="P31" s="6"/>
    </row>
    <row r="32" customFormat="false" ht="118.5" hidden="false" customHeight="true" outlineLevel="0" collapsed="false">
      <c r="A32" s="5" t="s">
        <v>161</v>
      </c>
      <c r="B32" s="6" t="s">
        <v>20</v>
      </c>
      <c r="C32" s="6" t="s">
        <v>77</v>
      </c>
      <c r="D32" s="6" t="s">
        <v>22</v>
      </c>
      <c r="E32" s="6"/>
      <c r="F32" s="7" t="s">
        <v>162</v>
      </c>
      <c r="G32" s="7" t="s">
        <v>24</v>
      </c>
      <c r="H32" s="5" t="n">
        <v>3</v>
      </c>
      <c r="I32" s="6"/>
      <c r="J32" s="5" t="n">
        <v>42</v>
      </c>
      <c r="K32" s="6" t="s">
        <v>163</v>
      </c>
      <c r="L32" s="6" t="s">
        <v>164</v>
      </c>
      <c r="M32" s="6" t="s">
        <v>165</v>
      </c>
      <c r="N32" s="6" t="s">
        <v>166</v>
      </c>
      <c r="O32" s="6" t="s">
        <v>167</v>
      </c>
      <c r="P32" s="6"/>
    </row>
    <row r="33" customFormat="false" ht="50.25" hidden="false" customHeight="true" outlineLevel="0" collapsed="false">
      <c r="A33" s="5" t="n">
        <v>95</v>
      </c>
      <c r="B33" s="6" t="s">
        <v>20</v>
      </c>
      <c r="C33" s="6" t="s">
        <v>77</v>
      </c>
      <c r="D33" s="6" t="s">
        <v>22</v>
      </c>
      <c r="E33" s="6"/>
      <c r="F33" s="7" t="s">
        <v>168</v>
      </c>
      <c r="G33" s="7" t="s">
        <v>31</v>
      </c>
      <c r="H33" s="5" t="n">
        <v>3</v>
      </c>
      <c r="I33" s="6"/>
      <c r="J33" s="5" t="n">
        <v>28</v>
      </c>
      <c r="K33" s="6" t="s">
        <v>43</v>
      </c>
      <c r="L33" s="6" t="s">
        <v>44</v>
      </c>
      <c r="M33" s="6" t="s">
        <v>169</v>
      </c>
      <c r="N33" s="6" t="s">
        <v>40</v>
      </c>
      <c r="O33" s="6" t="s">
        <v>170</v>
      </c>
      <c r="P33" s="6"/>
    </row>
    <row r="34" customFormat="false" ht="96" hidden="false" customHeight="true" outlineLevel="0" collapsed="false">
      <c r="A34" s="5" t="n">
        <v>3</v>
      </c>
      <c r="B34" s="6" t="s">
        <v>20</v>
      </c>
      <c r="C34" s="6" t="s">
        <v>77</v>
      </c>
      <c r="D34" s="6" t="s">
        <v>22</v>
      </c>
      <c r="E34" s="6"/>
      <c r="F34" s="7" t="s">
        <v>171</v>
      </c>
      <c r="G34" s="7" t="s">
        <v>31</v>
      </c>
      <c r="H34" s="5" t="n">
        <v>2</v>
      </c>
      <c r="I34" s="6"/>
      <c r="J34" s="5" t="n">
        <v>28</v>
      </c>
      <c r="K34" s="6" t="s">
        <v>172</v>
      </c>
      <c r="L34" s="6" t="s">
        <v>173</v>
      </c>
      <c r="M34" s="6" t="s">
        <v>174</v>
      </c>
      <c r="N34" s="6" t="s">
        <v>175</v>
      </c>
      <c r="O34" s="6" t="s">
        <v>176</v>
      </c>
      <c r="P34" s="6"/>
    </row>
    <row r="35" customFormat="false" ht="50.25" hidden="false" customHeight="true" outlineLevel="0" collapsed="false">
      <c r="A35" s="5" t="n">
        <v>295</v>
      </c>
      <c r="B35" s="6" t="s">
        <v>20</v>
      </c>
      <c r="C35" s="6" t="s">
        <v>77</v>
      </c>
      <c r="D35" s="6" t="s">
        <v>22</v>
      </c>
      <c r="E35" s="6"/>
      <c r="F35" s="7" t="s">
        <v>177</v>
      </c>
      <c r="G35" s="7" t="s">
        <v>31</v>
      </c>
      <c r="H35" s="5" t="n">
        <v>3</v>
      </c>
      <c r="I35" s="6"/>
      <c r="J35" s="5" t="n">
        <v>28</v>
      </c>
      <c r="K35" s="6" t="s">
        <v>37</v>
      </c>
      <c r="L35" s="6" t="s">
        <v>178</v>
      </c>
      <c r="M35" s="6" t="s">
        <v>39</v>
      </c>
      <c r="N35" s="6" t="s">
        <v>40</v>
      </c>
      <c r="O35" s="6" t="s">
        <v>179</v>
      </c>
      <c r="P35" s="6"/>
    </row>
    <row r="36" customFormat="false" ht="72.75" hidden="false" customHeight="true" outlineLevel="0" collapsed="false">
      <c r="A36" s="5" t="n">
        <v>92</v>
      </c>
      <c r="B36" s="6" t="s">
        <v>20</v>
      </c>
      <c r="C36" s="6" t="s">
        <v>77</v>
      </c>
      <c r="D36" s="6" t="s">
        <v>22</v>
      </c>
      <c r="E36" s="6"/>
      <c r="F36" s="7" t="s">
        <v>180</v>
      </c>
      <c r="G36" s="7" t="s">
        <v>31</v>
      </c>
      <c r="H36" s="5" t="n">
        <v>2</v>
      </c>
      <c r="I36" s="6"/>
      <c r="J36" s="5" t="n">
        <v>28</v>
      </c>
      <c r="K36" s="6" t="s">
        <v>80</v>
      </c>
      <c r="L36" s="6" t="s">
        <v>181</v>
      </c>
      <c r="M36" s="6" t="s">
        <v>182</v>
      </c>
      <c r="N36" s="6" t="s">
        <v>83</v>
      </c>
      <c r="O36" s="6" t="s">
        <v>183</v>
      </c>
      <c r="P36" s="6"/>
    </row>
    <row r="37" customFormat="false" ht="72.75" hidden="false" customHeight="true" outlineLevel="0" collapsed="false">
      <c r="A37" s="5" t="n">
        <v>96</v>
      </c>
      <c r="B37" s="6" t="s">
        <v>20</v>
      </c>
      <c r="C37" s="6" t="s">
        <v>77</v>
      </c>
      <c r="D37" s="6" t="s">
        <v>22</v>
      </c>
      <c r="E37" s="6"/>
      <c r="F37" s="7" t="s">
        <v>184</v>
      </c>
      <c r="G37" s="7" t="s">
        <v>31</v>
      </c>
      <c r="H37" s="5" t="n">
        <v>2</v>
      </c>
      <c r="I37" s="6"/>
      <c r="J37" s="5" t="n">
        <v>28</v>
      </c>
      <c r="K37" s="6" t="s">
        <v>185</v>
      </c>
      <c r="L37" s="6" t="s">
        <v>186</v>
      </c>
      <c r="M37" s="6" t="s">
        <v>112</v>
      </c>
      <c r="N37" s="6" t="s">
        <v>113</v>
      </c>
      <c r="O37" s="6" t="s">
        <v>187</v>
      </c>
      <c r="P37" s="6"/>
    </row>
    <row r="38" customFormat="false" ht="96" hidden="false" customHeight="true" outlineLevel="0" collapsed="false">
      <c r="A38" s="5" t="n">
        <v>4</v>
      </c>
      <c r="B38" s="6" t="s">
        <v>20</v>
      </c>
      <c r="C38" s="6" t="s">
        <v>77</v>
      </c>
      <c r="D38" s="6" t="s">
        <v>22</v>
      </c>
      <c r="E38" s="6"/>
      <c r="F38" s="7" t="s">
        <v>188</v>
      </c>
      <c r="G38" s="7" t="s">
        <v>31</v>
      </c>
      <c r="H38" s="5" t="n">
        <v>2</v>
      </c>
      <c r="I38" s="6"/>
      <c r="J38" s="5" t="n">
        <v>28</v>
      </c>
      <c r="K38" s="6" t="s">
        <v>189</v>
      </c>
      <c r="L38" s="6" t="s">
        <v>190</v>
      </c>
      <c r="M38" s="6" t="s">
        <v>191</v>
      </c>
      <c r="N38" s="6" t="s">
        <v>83</v>
      </c>
      <c r="O38" s="6" t="s">
        <v>192</v>
      </c>
      <c r="P38" s="6"/>
    </row>
    <row r="39" customFormat="false" ht="72.75" hidden="false" customHeight="true" outlineLevel="0" collapsed="false">
      <c r="A39" s="5" t="n">
        <v>98</v>
      </c>
      <c r="B39" s="6" t="s">
        <v>20</v>
      </c>
      <c r="C39" s="6" t="s">
        <v>77</v>
      </c>
      <c r="D39" s="6" t="s">
        <v>22</v>
      </c>
      <c r="E39" s="6"/>
      <c r="F39" s="7" t="s">
        <v>193</v>
      </c>
      <c r="G39" s="7" t="s">
        <v>31</v>
      </c>
      <c r="H39" s="5" t="n">
        <v>2</v>
      </c>
      <c r="I39" s="6"/>
      <c r="J39" s="5" t="n">
        <v>28</v>
      </c>
      <c r="K39" s="6" t="s">
        <v>194</v>
      </c>
      <c r="L39" s="6" t="s">
        <v>195</v>
      </c>
      <c r="M39" s="6" t="s">
        <v>112</v>
      </c>
      <c r="N39" s="6" t="s">
        <v>113</v>
      </c>
      <c r="O39" s="6" t="s">
        <v>196</v>
      </c>
      <c r="P39" s="6"/>
    </row>
    <row r="40" customFormat="false" ht="61.5" hidden="false" customHeight="true" outlineLevel="0" collapsed="false">
      <c r="A40" s="5" t="n">
        <v>315</v>
      </c>
      <c r="B40" s="6" t="s">
        <v>20</v>
      </c>
      <c r="C40" s="6" t="s">
        <v>77</v>
      </c>
      <c r="D40" s="6" t="s">
        <v>22</v>
      </c>
      <c r="E40" s="6"/>
      <c r="F40" s="7" t="s">
        <v>197</v>
      </c>
      <c r="G40" s="7" t="s">
        <v>50</v>
      </c>
      <c r="H40" s="5"/>
      <c r="I40" s="6"/>
      <c r="J40" s="5" t="n">
        <v>21</v>
      </c>
      <c r="K40" s="6" t="s">
        <v>51</v>
      </c>
      <c r="L40" s="6"/>
      <c r="M40" s="6" t="s">
        <v>61</v>
      </c>
      <c r="N40" s="6"/>
      <c r="O40" s="6" t="s">
        <v>198</v>
      </c>
      <c r="P40" s="6"/>
    </row>
    <row r="41" customFormat="false" ht="39" hidden="false" customHeight="true" outlineLevel="0" collapsed="false">
      <c r="A41" s="5" t="n">
        <v>104</v>
      </c>
      <c r="B41" s="6" t="s">
        <v>20</v>
      </c>
      <c r="C41" s="6" t="s">
        <v>77</v>
      </c>
      <c r="D41" s="6" t="s">
        <v>22</v>
      </c>
      <c r="E41" s="6"/>
      <c r="F41" s="7" t="s">
        <v>199</v>
      </c>
      <c r="G41" s="7" t="s">
        <v>50</v>
      </c>
      <c r="H41" s="5"/>
      <c r="I41" s="6"/>
      <c r="J41" s="5" t="n">
        <v>28</v>
      </c>
      <c r="K41" s="6" t="s">
        <v>51</v>
      </c>
      <c r="L41" s="6"/>
      <c r="M41" s="6"/>
      <c r="N41" s="6"/>
      <c r="O41" s="6" t="s">
        <v>200</v>
      </c>
      <c r="P41" s="6" t="s">
        <v>201</v>
      </c>
    </row>
    <row r="42" customFormat="false" ht="27.75" hidden="false" customHeight="true" outlineLevel="0" collapsed="false">
      <c r="A42" s="5" t="n">
        <v>103</v>
      </c>
      <c r="B42" s="6" t="s">
        <v>20</v>
      </c>
      <c r="C42" s="6" t="s">
        <v>77</v>
      </c>
      <c r="D42" s="6" t="s">
        <v>22</v>
      </c>
      <c r="E42" s="6"/>
      <c r="F42" s="7" t="s">
        <v>202</v>
      </c>
      <c r="G42" s="7" t="s">
        <v>50</v>
      </c>
      <c r="H42" s="5"/>
      <c r="I42" s="6"/>
      <c r="J42" s="5" t="n">
        <v>28</v>
      </c>
      <c r="K42" s="6" t="s">
        <v>51</v>
      </c>
      <c r="L42" s="6"/>
      <c r="M42" s="6" t="s">
        <v>203</v>
      </c>
      <c r="N42" s="6"/>
      <c r="O42" s="6" t="s">
        <v>204</v>
      </c>
      <c r="P42" s="6"/>
    </row>
    <row r="43" customFormat="false" ht="27.75" hidden="false" customHeight="true" outlineLevel="0" collapsed="false">
      <c r="A43" s="5" t="n">
        <v>102</v>
      </c>
      <c r="B43" s="6" t="s">
        <v>20</v>
      </c>
      <c r="C43" s="6" t="s">
        <v>77</v>
      </c>
      <c r="D43" s="6" t="s">
        <v>22</v>
      </c>
      <c r="E43" s="6"/>
      <c r="F43" s="7" t="s">
        <v>205</v>
      </c>
      <c r="G43" s="7" t="s">
        <v>31</v>
      </c>
      <c r="H43" s="5" t="n">
        <v>3</v>
      </c>
      <c r="I43" s="6"/>
      <c r="J43" s="5" t="n">
        <v>28</v>
      </c>
      <c r="K43" s="6" t="s">
        <v>206</v>
      </c>
      <c r="L43" s="6" t="s">
        <v>207</v>
      </c>
      <c r="M43" s="6"/>
      <c r="N43" s="6"/>
      <c r="O43" s="6" t="s">
        <v>208</v>
      </c>
      <c r="P43" s="6"/>
    </row>
    <row r="44" customFormat="false" ht="84.75" hidden="false" customHeight="true" outlineLevel="0" collapsed="false">
      <c r="A44" s="5" t="s">
        <v>209</v>
      </c>
      <c r="B44" s="6" t="s">
        <v>20</v>
      </c>
      <c r="C44" s="6" t="s">
        <v>77</v>
      </c>
      <c r="D44" s="6" t="s">
        <v>22</v>
      </c>
      <c r="E44" s="6"/>
      <c r="F44" s="7" t="s">
        <v>210</v>
      </c>
      <c r="G44" s="7" t="s">
        <v>24</v>
      </c>
      <c r="H44" s="5" t="n">
        <v>4</v>
      </c>
      <c r="I44" s="6"/>
      <c r="J44" s="5" t="n">
        <v>21</v>
      </c>
      <c r="K44" s="6" t="s">
        <v>211</v>
      </c>
      <c r="L44" s="6" t="s">
        <v>212</v>
      </c>
      <c r="M44" s="6" t="s">
        <v>213</v>
      </c>
      <c r="N44" s="6"/>
      <c r="O44" s="6" t="s">
        <v>214</v>
      </c>
      <c r="P44" s="6" t="s">
        <v>215</v>
      </c>
    </row>
    <row r="45" customFormat="false" ht="153" hidden="false" customHeight="true" outlineLevel="0" collapsed="false">
      <c r="A45" s="5" t="s">
        <v>216</v>
      </c>
      <c r="B45" s="6" t="s">
        <v>20</v>
      </c>
      <c r="C45" s="6" t="s">
        <v>77</v>
      </c>
      <c r="D45" s="6" t="s">
        <v>22</v>
      </c>
      <c r="E45" s="6"/>
      <c r="F45" s="7" t="s">
        <v>217</v>
      </c>
      <c r="G45" s="7" t="s">
        <v>24</v>
      </c>
      <c r="H45" s="5" t="n">
        <v>3</v>
      </c>
      <c r="I45" s="6"/>
      <c r="J45" s="5" t="n">
        <v>21</v>
      </c>
      <c r="K45" s="6" t="s">
        <v>218</v>
      </c>
      <c r="L45" s="6" t="s">
        <v>219</v>
      </c>
      <c r="M45" s="6" t="s">
        <v>220</v>
      </c>
      <c r="N45" s="6" t="s">
        <v>126</v>
      </c>
      <c r="O45" s="6" t="s">
        <v>221</v>
      </c>
      <c r="P45" s="6"/>
    </row>
    <row r="46" customFormat="false" ht="72.75" hidden="false" customHeight="true" outlineLevel="0" collapsed="false">
      <c r="A46" s="5" t="n">
        <v>5</v>
      </c>
      <c r="B46" s="6" t="s">
        <v>20</v>
      </c>
      <c r="C46" s="6" t="s">
        <v>77</v>
      </c>
      <c r="D46" s="6" t="s">
        <v>22</v>
      </c>
      <c r="E46" s="6"/>
      <c r="F46" s="7" t="s">
        <v>222</v>
      </c>
      <c r="G46" s="7" t="s">
        <v>31</v>
      </c>
      <c r="H46" s="5" t="n">
        <v>3</v>
      </c>
      <c r="I46" s="6"/>
      <c r="J46" s="5" t="n">
        <v>21</v>
      </c>
      <c r="K46" s="6" t="s">
        <v>87</v>
      </c>
      <c r="L46" s="6" t="s">
        <v>223</v>
      </c>
      <c r="M46" s="6" t="s">
        <v>224</v>
      </c>
      <c r="N46" s="6" t="s">
        <v>83</v>
      </c>
      <c r="O46" s="6" t="s">
        <v>225</v>
      </c>
      <c r="P46" s="6"/>
    </row>
    <row r="47" customFormat="false" ht="72.75" hidden="false" customHeight="true" outlineLevel="0" collapsed="false">
      <c r="A47" s="5" t="n">
        <v>132</v>
      </c>
      <c r="B47" s="6" t="s">
        <v>20</v>
      </c>
      <c r="C47" s="6" t="s">
        <v>226</v>
      </c>
      <c r="D47" s="6" t="s">
        <v>78</v>
      </c>
      <c r="E47" s="6"/>
      <c r="F47" s="7" t="s">
        <v>227</v>
      </c>
      <c r="G47" s="7" t="s">
        <v>31</v>
      </c>
      <c r="H47" s="5" t="n">
        <v>2</v>
      </c>
      <c r="I47" s="6"/>
      <c r="J47" s="5" t="n">
        <v>21</v>
      </c>
      <c r="K47" s="6" t="s">
        <v>228</v>
      </c>
      <c r="L47" s="6" t="s">
        <v>229</v>
      </c>
      <c r="M47" s="6" t="s">
        <v>230</v>
      </c>
      <c r="N47" s="6" t="s">
        <v>231</v>
      </c>
      <c r="O47" s="6" t="s">
        <v>232</v>
      </c>
      <c r="P47" s="6"/>
    </row>
    <row r="48" customFormat="false" ht="84.75" hidden="false" customHeight="true" outlineLevel="0" collapsed="false">
      <c r="A48" s="5" t="n">
        <v>133</v>
      </c>
      <c r="B48" s="6" t="s">
        <v>20</v>
      </c>
      <c r="C48" s="6" t="s">
        <v>226</v>
      </c>
      <c r="D48" s="6" t="s">
        <v>22</v>
      </c>
      <c r="E48" s="6"/>
      <c r="F48" s="7" t="s">
        <v>233</v>
      </c>
      <c r="G48" s="7" t="s">
        <v>50</v>
      </c>
      <c r="H48" s="5"/>
      <c r="I48" s="6"/>
      <c r="J48" s="5" t="n">
        <v>21</v>
      </c>
      <c r="K48" s="6" t="s">
        <v>51</v>
      </c>
      <c r="L48" s="6"/>
      <c r="M48" s="6" t="s">
        <v>234</v>
      </c>
      <c r="N48" s="6" t="s">
        <v>83</v>
      </c>
      <c r="O48" s="6" t="s">
        <v>235</v>
      </c>
      <c r="P48" s="6"/>
    </row>
    <row r="49" customFormat="false" ht="61.5" hidden="false" customHeight="true" outlineLevel="0" collapsed="false">
      <c r="A49" s="5" t="n">
        <v>135</v>
      </c>
      <c r="B49" s="6" t="s">
        <v>20</v>
      </c>
      <c r="C49" s="6" t="s">
        <v>226</v>
      </c>
      <c r="D49" s="6" t="s">
        <v>22</v>
      </c>
      <c r="E49" s="6"/>
      <c r="F49" s="7" t="s">
        <v>236</v>
      </c>
      <c r="G49" s="7" t="s">
        <v>50</v>
      </c>
      <c r="H49" s="5"/>
      <c r="I49" s="6"/>
      <c r="J49" s="5" t="n">
        <v>21</v>
      </c>
      <c r="K49" s="6" t="s">
        <v>237</v>
      </c>
      <c r="L49" s="6"/>
      <c r="M49" s="6" t="s">
        <v>89</v>
      </c>
      <c r="N49" s="6" t="s">
        <v>238</v>
      </c>
      <c r="O49" s="6" t="s">
        <v>239</v>
      </c>
      <c r="P49" s="6"/>
    </row>
    <row r="50" customFormat="false" ht="72.75" hidden="false" customHeight="true" outlineLevel="0" collapsed="false">
      <c r="A50" s="5" t="n">
        <v>136</v>
      </c>
      <c r="B50" s="6" t="s">
        <v>20</v>
      </c>
      <c r="C50" s="6" t="s">
        <v>226</v>
      </c>
      <c r="D50" s="6" t="s">
        <v>22</v>
      </c>
      <c r="E50" s="6"/>
      <c r="F50" s="7" t="s">
        <v>240</v>
      </c>
      <c r="G50" s="7" t="s">
        <v>31</v>
      </c>
      <c r="H50" s="5" t="n">
        <v>2</v>
      </c>
      <c r="I50" s="6"/>
      <c r="J50" s="5" t="n">
        <v>21</v>
      </c>
      <c r="K50" s="6" t="s">
        <v>228</v>
      </c>
      <c r="L50" s="6" t="s">
        <v>229</v>
      </c>
      <c r="M50" s="6" t="s">
        <v>241</v>
      </c>
      <c r="N50" s="6" t="s">
        <v>231</v>
      </c>
      <c r="O50" s="6" t="s">
        <v>242</v>
      </c>
      <c r="P50" s="6"/>
    </row>
    <row r="51" customFormat="false" ht="198.75" hidden="false" customHeight="true" outlineLevel="0" collapsed="false">
      <c r="A51" s="5" t="s">
        <v>243</v>
      </c>
      <c r="B51" s="6" t="s">
        <v>20</v>
      </c>
      <c r="C51" s="6" t="s">
        <v>226</v>
      </c>
      <c r="D51" s="6" t="s">
        <v>22</v>
      </c>
      <c r="E51" s="6"/>
      <c r="F51" s="7" t="s">
        <v>244</v>
      </c>
      <c r="G51" s="7" t="s">
        <v>24</v>
      </c>
      <c r="H51" s="5" t="n">
        <v>4</v>
      </c>
      <c r="I51" s="6"/>
      <c r="J51" s="5" t="n">
        <v>28</v>
      </c>
      <c r="K51" s="6" t="s">
        <v>245</v>
      </c>
      <c r="L51" s="6" t="s">
        <v>246</v>
      </c>
      <c r="M51" s="6" t="s">
        <v>82</v>
      </c>
      <c r="N51" s="6" t="s">
        <v>238</v>
      </c>
      <c r="O51" s="6" t="s">
        <v>247</v>
      </c>
      <c r="P51" s="6" t="s">
        <v>248</v>
      </c>
    </row>
    <row r="52" customFormat="false" ht="84.75" hidden="false" customHeight="true" outlineLevel="0" collapsed="false">
      <c r="A52" s="5" t="n">
        <v>134</v>
      </c>
      <c r="B52" s="6" t="s">
        <v>20</v>
      </c>
      <c r="C52" s="6" t="s">
        <v>226</v>
      </c>
      <c r="D52" s="6" t="s">
        <v>22</v>
      </c>
      <c r="E52" s="6"/>
      <c r="F52" s="7" t="s">
        <v>249</v>
      </c>
      <c r="G52" s="7" t="s">
        <v>31</v>
      </c>
      <c r="H52" s="5" t="n">
        <v>3</v>
      </c>
      <c r="I52" s="6"/>
      <c r="J52" s="5" t="n">
        <v>14</v>
      </c>
      <c r="K52" s="6" t="s">
        <v>250</v>
      </c>
      <c r="L52" s="6" t="s">
        <v>251</v>
      </c>
      <c r="M52" s="6" t="s">
        <v>252</v>
      </c>
      <c r="N52" s="6" t="s">
        <v>253</v>
      </c>
      <c r="O52" s="6" t="s">
        <v>254</v>
      </c>
      <c r="P52" s="6"/>
    </row>
    <row r="53" customFormat="false" ht="118.5" hidden="false" customHeight="true" outlineLevel="0" collapsed="false">
      <c r="A53" s="5" t="n">
        <v>7</v>
      </c>
      <c r="B53" s="6" t="s">
        <v>20</v>
      </c>
      <c r="C53" s="6" t="s">
        <v>226</v>
      </c>
      <c r="D53" s="6" t="s">
        <v>22</v>
      </c>
      <c r="E53" s="6"/>
      <c r="F53" s="7" t="s">
        <v>255</v>
      </c>
      <c r="G53" s="7" t="s">
        <v>31</v>
      </c>
      <c r="H53" s="5" t="n">
        <v>2</v>
      </c>
      <c r="I53" s="6"/>
      <c r="J53" s="5" t="n">
        <v>21</v>
      </c>
      <c r="K53" s="6" t="s">
        <v>256</v>
      </c>
      <c r="L53" s="6" t="s">
        <v>257</v>
      </c>
      <c r="M53" s="6" t="s">
        <v>258</v>
      </c>
      <c r="N53" s="6" t="s">
        <v>28</v>
      </c>
      <c r="O53" s="6" t="s">
        <v>259</v>
      </c>
      <c r="P53" s="6" t="s">
        <v>260</v>
      </c>
    </row>
    <row r="54" customFormat="false" ht="50.25" hidden="false" customHeight="true" outlineLevel="0" collapsed="false">
      <c r="A54" s="5" t="s">
        <v>261</v>
      </c>
      <c r="B54" s="6" t="s">
        <v>20</v>
      </c>
      <c r="C54" s="6" t="s">
        <v>226</v>
      </c>
      <c r="D54" s="6" t="s">
        <v>22</v>
      </c>
      <c r="E54" s="6"/>
      <c r="F54" s="7" t="s">
        <v>262</v>
      </c>
      <c r="G54" s="7" t="s">
        <v>24</v>
      </c>
      <c r="H54" s="5" t="n">
        <v>3</v>
      </c>
      <c r="I54" s="6"/>
      <c r="J54" s="5" t="n">
        <v>28</v>
      </c>
      <c r="K54" s="6" t="s">
        <v>263</v>
      </c>
      <c r="L54" s="6" t="s">
        <v>264</v>
      </c>
      <c r="M54" s="6" t="s">
        <v>69</v>
      </c>
      <c r="N54" s="6"/>
      <c r="O54" s="6" t="s">
        <v>265</v>
      </c>
      <c r="P54" s="6" t="s">
        <v>248</v>
      </c>
    </row>
    <row r="55" customFormat="false" ht="96" hidden="false" customHeight="true" outlineLevel="0" collapsed="false">
      <c r="A55" s="5" t="n">
        <v>131</v>
      </c>
      <c r="B55" s="6" t="s">
        <v>20</v>
      </c>
      <c r="C55" s="6" t="s">
        <v>226</v>
      </c>
      <c r="D55" s="6" t="s">
        <v>266</v>
      </c>
      <c r="E55" s="6"/>
      <c r="F55" s="7" t="s">
        <v>267</v>
      </c>
      <c r="G55" s="7" t="s">
        <v>50</v>
      </c>
      <c r="H55" s="5"/>
      <c r="I55" s="6"/>
      <c r="J55" s="5" t="n">
        <v>28</v>
      </c>
      <c r="K55" s="6" t="s">
        <v>51</v>
      </c>
      <c r="L55" s="6"/>
      <c r="M55" s="6" t="s">
        <v>268</v>
      </c>
      <c r="N55" s="6" t="s">
        <v>83</v>
      </c>
      <c r="O55" s="6" t="s">
        <v>269</v>
      </c>
      <c r="P55" s="6"/>
    </row>
    <row r="56" customFormat="false" ht="39" hidden="false" customHeight="true" outlineLevel="0" collapsed="false">
      <c r="A56" s="5" t="n">
        <v>0</v>
      </c>
      <c r="B56" s="6" t="s">
        <v>20</v>
      </c>
      <c r="C56" s="6" t="s">
        <v>270</v>
      </c>
      <c r="D56" s="6" t="s">
        <v>78</v>
      </c>
      <c r="E56" s="6"/>
      <c r="F56" s="7" t="s">
        <v>271</v>
      </c>
      <c r="G56" s="7" t="s">
        <v>31</v>
      </c>
      <c r="H56" s="5" t="n">
        <v>3</v>
      </c>
      <c r="I56" s="6"/>
      <c r="J56" s="5" t="n">
        <v>0</v>
      </c>
      <c r="K56" s="6" t="s">
        <v>87</v>
      </c>
      <c r="L56" s="6" t="s">
        <v>272</v>
      </c>
      <c r="M56" s="6"/>
      <c r="N56" s="6"/>
      <c r="O56" s="6" t="s">
        <v>273</v>
      </c>
      <c r="P56" s="6" t="s">
        <v>274</v>
      </c>
    </row>
    <row r="57" customFormat="false" ht="61.5" hidden="false" customHeight="true" outlineLevel="0" collapsed="false">
      <c r="A57" s="5" t="s">
        <v>275</v>
      </c>
      <c r="B57" s="6" t="s">
        <v>20</v>
      </c>
      <c r="C57" s="6" t="s">
        <v>270</v>
      </c>
      <c r="D57" s="6" t="s">
        <v>22</v>
      </c>
      <c r="E57" s="6"/>
      <c r="F57" s="7" t="s">
        <v>276</v>
      </c>
      <c r="G57" s="7" t="s">
        <v>24</v>
      </c>
      <c r="H57" s="5" t="n">
        <v>4</v>
      </c>
      <c r="I57" s="6"/>
      <c r="J57" s="5" t="n">
        <v>28</v>
      </c>
      <c r="K57" s="6" t="s">
        <v>277</v>
      </c>
      <c r="L57" s="6" t="s">
        <v>278</v>
      </c>
      <c r="M57" s="6"/>
      <c r="N57" s="6"/>
      <c r="O57" s="6" t="s">
        <v>279</v>
      </c>
      <c r="P57" s="6"/>
    </row>
    <row r="58" customFormat="false" ht="61.5" hidden="false" customHeight="true" outlineLevel="0" collapsed="false">
      <c r="A58" s="5" t="s">
        <v>280</v>
      </c>
      <c r="B58" s="6" t="s">
        <v>20</v>
      </c>
      <c r="C58" s="6" t="s">
        <v>270</v>
      </c>
      <c r="D58" s="6" t="s">
        <v>22</v>
      </c>
      <c r="E58" s="6"/>
      <c r="F58" s="7" t="s">
        <v>281</v>
      </c>
      <c r="G58" s="7" t="s">
        <v>24</v>
      </c>
      <c r="H58" s="5" t="n">
        <v>3</v>
      </c>
      <c r="I58" s="6"/>
      <c r="J58" s="5" t="n">
        <v>28</v>
      </c>
      <c r="K58" s="6" t="s">
        <v>282</v>
      </c>
      <c r="L58" s="6" t="s">
        <v>283</v>
      </c>
      <c r="M58" s="6"/>
      <c r="N58" s="6"/>
      <c r="O58" s="6" t="s">
        <v>284</v>
      </c>
      <c r="P58" s="6"/>
    </row>
    <row r="59" customFormat="false" ht="61.5" hidden="false" customHeight="true" outlineLevel="0" collapsed="false">
      <c r="A59" s="5" t="s">
        <v>285</v>
      </c>
      <c r="B59" s="6" t="s">
        <v>20</v>
      </c>
      <c r="C59" s="6" t="s">
        <v>270</v>
      </c>
      <c r="D59" s="6" t="s">
        <v>22</v>
      </c>
      <c r="E59" s="6"/>
      <c r="F59" s="7" t="s">
        <v>286</v>
      </c>
      <c r="G59" s="7" t="s">
        <v>24</v>
      </c>
      <c r="H59" s="5" t="n">
        <v>4</v>
      </c>
      <c r="I59" s="6"/>
      <c r="J59" s="5" t="n">
        <v>28</v>
      </c>
      <c r="K59" s="6" t="s">
        <v>287</v>
      </c>
      <c r="L59" s="6" t="s">
        <v>288</v>
      </c>
      <c r="M59" s="6"/>
      <c r="N59" s="6"/>
      <c r="O59" s="6" t="s">
        <v>289</v>
      </c>
      <c r="P59" s="6"/>
    </row>
    <row r="60" customFormat="false" ht="27.75" hidden="false" customHeight="true" outlineLevel="0" collapsed="false">
      <c r="A60" s="5" t="n">
        <v>109</v>
      </c>
      <c r="B60" s="6" t="s">
        <v>20</v>
      </c>
      <c r="C60" s="6" t="s">
        <v>270</v>
      </c>
      <c r="D60" s="6" t="s">
        <v>22</v>
      </c>
      <c r="E60" s="6"/>
      <c r="F60" s="7" t="s">
        <v>290</v>
      </c>
      <c r="G60" s="7" t="s">
        <v>50</v>
      </c>
      <c r="H60" s="5"/>
      <c r="I60" s="6"/>
      <c r="J60" s="5" t="n">
        <v>42</v>
      </c>
      <c r="K60" s="6" t="s">
        <v>51</v>
      </c>
      <c r="L60" s="6"/>
      <c r="M60" s="6"/>
      <c r="N60" s="6"/>
      <c r="O60" s="6" t="s">
        <v>291</v>
      </c>
      <c r="P60" s="6" t="s">
        <v>56</v>
      </c>
    </row>
    <row r="61" customFormat="false" ht="61.5" hidden="false" customHeight="true" outlineLevel="0" collapsed="false">
      <c r="A61" s="5" t="n">
        <v>137</v>
      </c>
      <c r="B61" s="6" t="s">
        <v>20</v>
      </c>
      <c r="C61" s="6" t="s">
        <v>292</v>
      </c>
      <c r="D61" s="6" t="s">
        <v>78</v>
      </c>
      <c r="E61" s="6"/>
      <c r="F61" s="7" t="s">
        <v>293</v>
      </c>
      <c r="G61" s="7" t="s">
        <v>31</v>
      </c>
      <c r="H61" s="5" t="n">
        <v>3</v>
      </c>
      <c r="I61" s="6"/>
      <c r="J61" s="5" t="n">
        <v>28</v>
      </c>
      <c r="K61" s="6" t="s">
        <v>43</v>
      </c>
      <c r="L61" s="6" t="s">
        <v>44</v>
      </c>
      <c r="M61" s="6" t="s">
        <v>294</v>
      </c>
      <c r="N61" s="6" t="s">
        <v>40</v>
      </c>
      <c r="O61" s="6" t="s">
        <v>295</v>
      </c>
      <c r="P61" s="6"/>
    </row>
    <row r="62" customFormat="false" ht="27.75" hidden="false" customHeight="true" outlineLevel="0" collapsed="false">
      <c r="A62" s="5" t="n">
        <v>138</v>
      </c>
      <c r="B62" s="6" t="s">
        <v>20</v>
      </c>
      <c r="C62" s="6" t="s">
        <v>292</v>
      </c>
      <c r="D62" s="6" t="s">
        <v>296</v>
      </c>
      <c r="E62" s="6"/>
      <c r="F62" s="7" t="s">
        <v>297</v>
      </c>
      <c r="G62" s="7" t="s">
        <v>50</v>
      </c>
      <c r="H62" s="5"/>
      <c r="I62" s="6"/>
      <c r="J62" s="5" t="n">
        <v>0</v>
      </c>
      <c r="K62" s="6" t="s">
        <v>51</v>
      </c>
      <c r="L62" s="6"/>
      <c r="M62" s="6" t="s">
        <v>39</v>
      </c>
      <c r="N62" s="6" t="s">
        <v>40</v>
      </c>
      <c r="O62" s="6" t="s">
        <v>298</v>
      </c>
      <c r="P62" s="6" t="s">
        <v>299</v>
      </c>
    </row>
    <row r="63" customFormat="false" ht="39" hidden="false" customHeight="true" outlineLevel="0" collapsed="false">
      <c r="A63" s="5" t="n">
        <v>139</v>
      </c>
      <c r="B63" s="6" t="s">
        <v>20</v>
      </c>
      <c r="C63" s="6" t="s">
        <v>292</v>
      </c>
      <c r="D63" s="6" t="s">
        <v>296</v>
      </c>
      <c r="E63" s="6"/>
      <c r="F63" s="7" t="s">
        <v>300</v>
      </c>
      <c r="G63" s="7" t="s">
        <v>31</v>
      </c>
      <c r="H63" s="5" t="n">
        <v>3</v>
      </c>
      <c r="I63" s="6"/>
      <c r="J63" s="5" t="n">
        <v>0</v>
      </c>
      <c r="K63" s="6" t="s">
        <v>43</v>
      </c>
      <c r="L63" s="6" t="s">
        <v>44</v>
      </c>
      <c r="M63" s="6" t="s">
        <v>301</v>
      </c>
      <c r="N63" s="6"/>
      <c r="O63" s="6" t="s">
        <v>302</v>
      </c>
      <c r="P63" s="6"/>
    </row>
    <row r="64" customFormat="false" ht="72.75" hidden="false" customHeight="true" outlineLevel="0" collapsed="false">
      <c r="A64" s="5" t="n">
        <v>311</v>
      </c>
      <c r="B64" s="6" t="s">
        <v>20</v>
      </c>
      <c r="C64" s="6" t="s">
        <v>292</v>
      </c>
      <c r="D64" s="6" t="s">
        <v>22</v>
      </c>
      <c r="E64" s="6"/>
      <c r="F64" s="7" t="s">
        <v>303</v>
      </c>
      <c r="G64" s="7" t="s">
        <v>31</v>
      </c>
      <c r="H64" s="5" t="n">
        <v>3</v>
      </c>
      <c r="I64" s="6"/>
      <c r="J64" s="5" t="n">
        <v>28</v>
      </c>
      <c r="K64" s="6" t="s">
        <v>304</v>
      </c>
      <c r="L64" s="6" t="s">
        <v>305</v>
      </c>
      <c r="M64" s="6" t="s">
        <v>154</v>
      </c>
      <c r="N64" s="6" t="s">
        <v>151</v>
      </c>
      <c r="O64" s="6" t="s">
        <v>306</v>
      </c>
      <c r="P64" s="6"/>
    </row>
    <row r="65" customFormat="false" ht="72.75" hidden="false" customHeight="true" outlineLevel="0" collapsed="false">
      <c r="A65" s="5" t="n">
        <v>141</v>
      </c>
      <c r="B65" s="6" t="s">
        <v>20</v>
      </c>
      <c r="C65" s="6" t="s">
        <v>292</v>
      </c>
      <c r="D65" s="6" t="s">
        <v>22</v>
      </c>
      <c r="E65" s="6"/>
      <c r="F65" s="7" t="s">
        <v>307</v>
      </c>
      <c r="G65" s="7" t="s">
        <v>31</v>
      </c>
      <c r="H65" s="5" t="n">
        <v>3</v>
      </c>
      <c r="I65" s="6"/>
      <c r="J65" s="5" t="n">
        <v>28</v>
      </c>
      <c r="K65" s="6" t="s">
        <v>308</v>
      </c>
      <c r="L65" s="6" t="s">
        <v>309</v>
      </c>
      <c r="M65" s="6" t="s">
        <v>310</v>
      </c>
      <c r="N65" s="6" t="s">
        <v>311</v>
      </c>
      <c r="O65" s="6" t="s">
        <v>312</v>
      </c>
      <c r="P65" s="6"/>
    </row>
    <row r="66" customFormat="false" ht="61.5" hidden="false" customHeight="true" outlineLevel="0" collapsed="false">
      <c r="A66" s="5" t="n">
        <v>140</v>
      </c>
      <c r="B66" s="6" t="s">
        <v>20</v>
      </c>
      <c r="C66" s="6" t="s">
        <v>292</v>
      </c>
      <c r="D66" s="6" t="s">
        <v>22</v>
      </c>
      <c r="E66" s="6"/>
      <c r="F66" s="7" t="s">
        <v>313</v>
      </c>
      <c r="G66" s="7" t="s">
        <v>31</v>
      </c>
      <c r="H66" s="5" t="n">
        <v>3</v>
      </c>
      <c r="I66" s="6"/>
      <c r="J66" s="5" t="n">
        <v>28</v>
      </c>
      <c r="K66" s="6" t="s">
        <v>43</v>
      </c>
      <c r="L66" s="6" t="s">
        <v>44</v>
      </c>
      <c r="M66" s="6" t="s">
        <v>314</v>
      </c>
      <c r="N66" s="6"/>
      <c r="O66" s="6" t="s">
        <v>315</v>
      </c>
      <c r="P66" s="6"/>
    </row>
    <row r="67" customFormat="false" ht="164.25" hidden="false" customHeight="true" outlineLevel="0" collapsed="false">
      <c r="A67" s="5" t="s">
        <v>316</v>
      </c>
      <c r="B67" s="6" t="s">
        <v>20</v>
      </c>
      <c r="C67" s="6" t="s">
        <v>292</v>
      </c>
      <c r="D67" s="6" t="s">
        <v>22</v>
      </c>
      <c r="E67" s="6"/>
      <c r="F67" s="7" t="s">
        <v>317</v>
      </c>
      <c r="G67" s="7" t="s">
        <v>24</v>
      </c>
      <c r="H67" s="5" t="n">
        <v>3</v>
      </c>
      <c r="I67" s="6"/>
      <c r="J67" s="5" t="n">
        <v>28</v>
      </c>
      <c r="K67" s="6" t="s">
        <v>318</v>
      </c>
      <c r="L67" s="6" t="s">
        <v>319</v>
      </c>
      <c r="M67" s="6" t="s">
        <v>320</v>
      </c>
      <c r="N67" s="6" t="s">
        <v>126</v>
      </c>
      <c r="O67" s="6" t="s">
        <v>321</v>
      </c>
      <c r="P67" s="6"/>
    </row>
    <row r="68" customFormat="false" ht="50.25" hidden="false" customHeight="true" outlineLevel="0" collapsed="false">
      <c r="A68" s="5" t="s">
        <v>322</v>
      </c>
      <c r="B68" s="6" t="s">
        <v>20</v>
      </c>
      <c r="C68" s="6" t="s">
        <v>323</v>
      </c>
      <c r="D68" s="6" t="s">
        <v>324</v>
      </c>
      <c r="E68" s="6"/>
      <c r="F68" s="7" t="s">
        <v>325</v>
      </c>
      <c r="G68" s="7" t="s">
        <v>24</v>
      </c>
      <c r="H68" s="5" t="n">
        <v>3</v>
      </c>
      <c r="I68" s="6"/>
      <c r="J68" s="5" t="n">
        <v>21</v>
      </c>
      <c r="K68" s="6" t="s">
        <v>326</v>
      </c>
      <c r="L68" s="6" t="s">
        <v>327</v>
      </c>
      <c r="M68" s="6"/>
      <c r="N68" s="6"/>
      <c r="O68" s="6" t="s">
        <v>328</v>
      </c>
      <c r="P68" s="6" t="s">
        <v>329</v>
      </c>
    </row>
    <row r="69" customFormat="false" ht="96" hidden="false" customHeight="true" outlineLevel="0" collapsed="false">
      <c r="A69" s="5" t="n">
        <v>105</v>
      </c>
      <c r="B69" s="6" t="s">
        <v>20</v>
      </c>
      <c r="C69" s="6" t="s">
        <v>323</v>
      </c>
      <c r="D69" s="6" t="s">
        <v>324</v>
      </c>
      <c r="E69" s="6"/>
      <c r="F69" s="7" t="s">
        <v>330</v>
      </c>
      <c r="G69" s="7" t="s">
        <v>331</v>
      </c>
      <c r="H69" s="5" t="n">
        <v>2</v>
      </c>
      <c r="I69" s="6"/>
      <c r="J69" s="5" t="n">
        <v>28</v>
      </c>
      <c r="K69" s="6" t="s">
        <v>332</v>
      </c>
      <c r="L69" s="6" t="s">
        <v>333</v>
      </c>
      <c r="M69" s="6" t="s">
        <v>154</v>
      </c>
      <c r="N69" s="6" t="s">
        <v>151</v>
      </c>
      <c r="O69" s="6" t="s">
        <v>334</v>
      </c>
      <c r="P69" s="6" t="s">
        <v>335</v>
      </c>
    </row>
    <row r="70" customFormat="false" ht="27.75" hidden="false" customHeight="true" outlineLevel="0" collapsed="false">
      <c r="A70" s="5" t="n">
        <v>2</v>
      </c>
      <c r="B70" s="6" t="s">
        <v>20</v>
      </c>
      <c r="C70" s="6" t="s">
        <v>323</v>
      </c>
      <c r="D70" s="6" t="s">
        <v>35</v>
      </c>
      <c r="E70" s="6"/>
      <c r="F70" s="7" t="s">
        <v>336</v>
      </c>
      <c r="G70" s="7" t="s">
        <v>31</v>
      </c>
      <c r="H70" s="5" t="n">
        <v>3</v>
      </c>
      <c r="I70" s="6"/>
      <c r="J70" s="5" t="n">
        <v>0</v>
      </c>
      <c r="K70" s="6" t="s">
        <v>87</v>
      </c>
      <c r="L70" s="6" t="s">
        <v>337</v>
      </c>
      <c r="M70" s="6" t="s">
        <v>45</v>
      </c>
      <c r="N70" s="6" t="s">
        <v>40</v>
      </c>
      <c r="O70" s="6" t="s">
        <v>338</v>
      </c>
      <c r="P70" s="6" t="s">
        <v>339</v>
      </c>
    </row>
    <row r="71" customFormat="false" ht="27.75" hidden="false" customHeight="true" outlineLevel="0" collapsed="false">
      <c r="A71" s="5" t="n">
        <v>110</v>
      </c>
      <c r="B71" s="6" t="s">
        <v>20</v>
      </c>
      <c r="C71" s="6" t="s">
        <v>340</v>
      </c>
      <c r="D71" s="6" t="s">
        <v>48</v>
      </c>
      <c r="E71" s="6"/>
      <c r="F71" s="7" t="s">
        <v>341</v>
      </c>
      <c r="G71" s="7" t="s">
        <v>50</v>
      </c>
      <c r="H71" s="5"/>
      <c r="I71" s="6"/>
      <c r="J71" s="5" t="n">
        <v>28</v>
      </c>
      <c r="K71" s="6" t="s">
        <v>51</v>
      </c>
      <c r="L71" s="6"/>
      <c r="M71" s="6" t="s">
        <v>45</v>
      </c>
      <c r="N71" s="6" t="s">
        <v>40</v>
      </c>
      <c r="O71" s="6" t="s">
        <v>342</v>
      </c>
      <c r="P71" s="6"/>
    </row>
    <row r="72" customFormat="false" ht="84.75" hidden="false" customHeight="true" outlineLevel="0" collapsed="false">
      <c r="A72" s="5" t="n">
        <v>114</v>
      </c>
      <c r="B72" s="6" t="s">
        <v>20</v>
      </c>
      <c r="C72" s="6" t="s">
        <v>340</v>
      </c>
      <c r="D72" s="6" t="s">
        <v>48</v>
      </c>
      <c r="E72" s="6"/>
      <c r="F72" s="7" t="s">
        <v>343</v>
      </c>
      <c r="G72" s="7" t="s">
        <v>31</v>
      </c>
      <c r="H72" s="5" t="n">
        <v>2</v>
      </c>
      <c r="I72" s="6"/>
      <c r="J72" s="5" t="n">
        <v>21</v>
      </c>
      <c r="K72" s="6" t="s">
        <v>344</v>
      </c>
      <c r="L72" s="6" t="s">
        <v>345</v>
      </c>
      <c r="M72" s="6" t="s">
        <v>346</v>
      </c>
      <c r="N72" s="6" t="s">
        <v>347</v>
      </c>
      <c r="O72" s="6" t="s">
        <v>348</v>
      </c>
      <c r="P72" s="6" t="s">
        <v>349</v>
      </c>
    </row>
    <row r="73" customFormat="false" ht="27.75" hidden="false" customHeight="true" outlineLevel="0" collapsed="false">
      <c r="A73" s="5" t="n">
        <v>111</v>
      </c>
      <c r="B73" s="6" t="s">
        <v>20</v>
      </c>
      <c r="C73" s="6" t="s">
        <v>340</v>
      </c>
      <c r="D73" s="6" t="s">
        <v>48</v>
      </c>
      <c r="E73" s="6"/>
      <c r="F73" s="7" t="s">
        <v>350</v>
      </c>
      <c r="G73" s="7" t="s">
        <v>50</v>
      </c>
      <c r="H73" s="5"/>
      <c r="I73" s="6"/>
      <c r="J73" s="5" t="n">
        <v>28</v>
      </c>
      <c r="K73" s="6" t="s">
        <v>51</v>
      </c>
      <c r="L73" s="6"/>
      <c r="M73" s="6"/>
      <c r="N73" s="6"/>
      <c r="O73" s="6" t="s">
        <v>351</v>
      </c>
      <c r="P73" s="6"/>
    </row>
    <row r="74" customFormat="false" ht="27.75" hidden="false" customHeight="true" outlineLevel="0" collapsed="false">
      <c r="A74" s="5" t="n">
        <v>112</v>
      </c>
      <c r="B74" s="6" t="s">
        <v>20</v>
      </c>
      <c r="C74" s="6" t="s">
        <v>340</v>
      </c>
      <c r="D74" s="6" t="s">
        <v>48</v>
      </c>
      <c r="E74" s="6"/>
      <c r="F74" s="7" t="s">
        <v>352</v>
      </c>
      <c r="G74" s="7" t="s">
        <v>50</v>
      </c>
      <c r="H74" s="5"/>
      <c r="I74" s="6"/>
      <c r="J74" s="5" t="n">
        <v>28</v>
      </c>
      <c r="K74" s="6" t="s">
        <v>51</v>
      </c>
      <c r="L74" s="6"/>
      <c r="M74" s="6"/>
      <c r="N74" s="6"/>
      <c r="O74" s="6" t="s">
        <v>353</v>
      </c>
      <c r="P74" s="6"/>
    </row>
    <row r="75" customFormat="false" ht="27.75" hidden="false" customHeight="true" outlineLevel="0" collapsed="false">
      <c r="A75" s="5" t="n">
        <v>113</v>
      </c>
      <c r="B75" s="6" t="s">
        <v>20</v>
      </c>
      <c r="C75" s="6" t="s">
        <v>340</v>
      </c>
      <c r="D75" s="6" t="s">
        <v>48</v>
      </c>
      <c r="E75" s="6"/>
      <c r="F75" s="7" t="s">
        <v>354</v>
      </c>
      <c r="G75" s="7" t="s">
        <v>50</v>
      </c>
      <c r="H75" s="5"/>
      <c r="I75" s="6"/>
      <c r="J75" s="5" t="n">
        <v>28</v>
      </c>
      <c r="K75" s="6" t="s">
        <v>51</v>
      </c>
      <c r="L75" s="6"/>
      <c r="M75" s="6"/>
      <c r="N75" s="6"/>
      <c r="O75" s="6" t="s">
        <v>355</v>
      </c>
      <c r="P75" s="6"/>
    </row>
    <row r="76" customFormat="false" ht="27.75" hidden="false" customHeight="true" outlineLevel="0" collapsed="false">
      <c r="A76" s="5" t="n">
        <v>307</v>
      </c>
      <c r="B76" s="6" t="s">
        <v>20</v>
      </c>
      <c r="C76" s="6" t="s">
        <v>340</v>
      </c>
      <c r="D76" s="6" t="s">
        <v>48</v>
      </c>
      <c r="E76" s="6"/>
      <c r="F76" s="7" t="s">
        <v>356</v>
      </c>
      <c r="G76" s="7" t="s">
        <v>50</v>
      </c>
      <c r="H76" s="5"/>
      <c r="I76" s="6"/>
      <c r="J76" s="5" t="n">
        <v>28</v>
      </c>
      <c r="K76" s="6" t="s">
        <v>51</v>
      </c>
      <c r="L76" s="6"/>
      <c r="M76" s="6"/>
      <c r="N76" s="6"/>
      <c r="O76" s="6" t="s">
        <v>357</v>
      </c>
      <c r="P76" s="6"/>
    </row>
    <row r="77" customFormat="false" ht="61.5" hidden="false" customHeight="true" outlineLevel="0" collapsed="false">
      <c r="A77" s="5" t="n">
        <v>82</v>
      </c>
      <c r="B77" s="6" t="s">
        <v>20</v>
      </c>
      <c r="C77" s="6" t="s">
        <v>358</v>
      </c>
      <c r="D77" s="6" t="s">
        <v>48</v>
      </c>
      <c r="E77" s="6"/>
      <c r="F77" s="7" t="s">
        <v>359</v>
      </c>
      <c r="G77" s="7" t="s">
        <v>31</v>
      </c>
      <c r="H77" s="5" t="n">
        <v>2</v>
      </c>
      <c r="I77" s="6"/>
      <c r="J77" s="5" t="n">
        <v>21</v>
      </c>
      <c r="K77" s="6" t="s">
        <v>360</v>
      </c>
      <c r="L77" s="6" t="s">
        <v>361</v>
      </c>
      <c r="M77" s="6" t="s">
        <v>362</v>
      </c>
      <c r="N77" s="6" t="s">
        <v>28</v>
      </c>
      <c r="O77" s="6" t="s">
        <v>363</v>
      </c>
      <c r="P77" s="6"/>
    </row>
    <row r="78" customFormat="false" ht="96" hidden="false" customHeight="true" outlineLevel="0" collapsed="false">
      <c r="A78" s="5" t="n">
        <v>312</v>
      </c>
      <c r="B78" s="6" t="s">
        <v>20</v>
      </c>
      <c r="C78" s="6" t="s">
        <v>358</v>
      </c>
      <c r="D78" s="6" t="s">
        <v>48</v>
      </c>
      <c r="E78" s="6"/>
      <c r="F78" s="7" t="s">
        <v>364</v>
      </c>
      <c r="G78" s="7" t="s">
        <v>31</v>
      </c>
      <c r="H78" s="5" t="n">
        <v>2</v>
      </c>
      <c r="I78" s="6"/>
      <c r="J78" s="5" t="n">
        <v>21</v>
      </c>
      <c r="K78" s="6" t="s">
        <v>365</v>
      </c>
      <c r="L78" s="6" t="s">
        <v>366</v>
      </c>
      <c r="M78" s="6" t="s">
        <v>367</v>
      </c>
      <c r="N78" s="6" t="s">
        <v>368</v>
      </c>
      <c r="O78" s="6" t="s">
        <v>369</v>
      </c>
      <c r="P78" s="6"/>
    </row>
    <row r="79" customFormat="false" ht="107.25" hidden="false" customHeight="true" outlineLevel="0" collapsed="false">
      <c r="A79" s="5" t="n">
        <v>144</v>
      </c>
      <c r="B79" s="6" t="s">
        <v>20</v>
      </c>
      <c r="C79" s="6" t="s">
        <v>358</v>
      </c>
      <c r="D79" s="6" t="s">
        <v>48</v>
      </c>
      <c r="E79" s="6"/>
      <c r="F79" s="7" t="s">
        <v>370</v>
      </c>
      <c r="G79" s="7" t="s">
        <v>31</v>
      </c>
      <c r="H79" s="5" t="n">
        <v>2</v>
      </c>
      <c r="I79" s="6"/>
      <c r="J79" s="5" t="n">
        <v>21</v>
      </c>
      <c r="K79" s="6" t="s">
        <v>365</v>
      </c>
      <c r="L79" s="6" t="s">
        <v>366</v>
      </c>
      <c r="M79" s="6" t="s">
        <v>371</v>
      </c>
      <c r="N79" s="6" t="s">
        <v>368</v>
      </c>
      <c r="O79" s="6" t="s">
        <v>372</v>
      </c>
      <c r="P79" s="6"/>
    </row>
    <row r="80" customFormat="false" ht="84.75" hidden="false" customHeight="true" outlineLevel="0" collapsed="false">
      <c r="A80" s="5" t="n">
        <v>142</v>
      </c>
      <c r="B80" s="6" t="s">
        <v>20</v>
      </c>
      <c r="C80" s="6" t="s">
        <v>358</v>
      </c>
      <c r="D80" s="6" t="s">
        <v>48</v>
      </c>
      <c r="E80" s="6"/>
      <c r="F80" s="7" t="s">
        <v>373</v>
      </c>
      <c r="G80" s="7" t="s">
        <v>31</v>
      </c>
      <c r="H80" s="5" t="n">
        <v>2</v>
      </c>
      <c r="I80" s="6"/>
      <c r="J80" s="5" t="n">
        <v>21</v>
      </c>
      <c r="K80" s="6" t="s">
        <v>374</v>
      </c>
      <c r="L80" s="6" t="s">
        <v>375</v>
      </c>
      <c r="M80" s="6" t="s">
        <v>376</v>
      </c>
      <c r="N80" s="6" t="s">
        <v>368</v>
      </c>
      <c r="O80" s="6" t="s">
        <v>377</v>
      </c>
      <c r="P80" s="6"/>
    </row>
    <row r="81" customFormat="false" ht="61.5" hidden="false" customHeight="true" outlineLevel="0" collapsed="false">
      <c r="A81" s="5" t="s">
        <v>378</v>
      </c>
      <c r="B81" s="6" t="s">
        <v>20</v>
      </c>
      <c r="C81" s="6" t="s">
        <v>358</v>
      </c>
      <c r="D81" s="6" t="s">
        <v>48</v>
      </c>
      <c r="E81" s="6"/>
      <c r="F81" s="7" t="s">
        <v>379</v>
      </c>
      <c r="G81" s="7" t="s">
        <v>24</v>
      </c>
      <c r="H81" s="5" t="n">
        <v>4</v>
      </c>
      <c r="I81" s="6"/>
      <c r="J81" s="5" t="n">
        <v>28</v>
      </c>
      <c r="K81" s="6" t="s">
        <v>380</v>
      </c>
      <c r="L81" s="6" t="s">
        <v>381</v>
      </c>
      <c r="M81" s="6"/>
      <c r="N81" s="6"/>
      <c r="O81" s="6" t="s">
        <v>382</v>
      </c>
      <c r="P81" s="6"/>
    </row>
    <row r="82" customFormat="false" ht="61.5" hidden="false" customHeight="true" outlineLevel="0" collapsed="false">
      <c r="A82" s="5" t="s">
        <v>383</v>
      </c>
      <c r="B82" s="6" t="s">
        <v>20</v>
      </c>
      <c r="C82" s="6" t="s">
        <v>358</v>
      </c>
      <c r="D82" s="6" t="s">
        <v>48</v>
      </c>
      <c r="E82" s="6"/>
      <c r="F82" s="7" t="s">
        <v>384</v>
      </c>
      <c r="G82" s="7" t="s">
        <v>24</v>
      </c>
      <c r="H82" s="5" t="n">
        <v>4</v>
      </c>
      <c r="I82" s="6"/>
      <c r="J82" s="5" t="n">
        <v>28</v>
      </c>
      <c r="K82" s="6" t="s">
        <v>385</v>
      </c>
      <c r="L82" s="6" t="s">
        <v>386</v>
      </c>
      <c r="M82" s="6"/>
      <c r="N82" s="6"/>
      <c r="O82" s="6" t="s">
        <v>387</v>
      </c>
      <c r="P82" s="6"/>
    </row>
    <row r="83" customFormat="false" ht="61.5" hidden="false" customHeight="true" outlineLevel="0" collapsed="false">
      <c r="A83" s="5" t="s">
        <v>388</v>
      </c>
      <c r="B83" s="6" t="s">
        <v>20</v>
      </c>
      <c r="C83" s="6" t="s">
        <v>358</v>
      </c>
      <c r="D83" s="6" t="s">
        <v>48</v>
      </c>
      <c r="E83" s="6"/>
      <c r="F83" s="7" t="s">
        <v>389</v>
      </c>
      <c r="G83" s="7" t="s">
        <v>24</v>
      </c>
      <c r="H83" s="5" t="n">
        <v>4</v>
      </c>
      <c r="I83" s="6"/>
      <c r="J83" s="5" t="n">
        <v>21</v>
      </c>
      <c r="K83" s="6" t="s">
        <v>390</v>
      </c>
      <c r="L83" s="6" t="s">
        <v>391</v>
      </c>
      <c r="M83" s="6"/>
      <c r="N83" s="6"/>
      <c r="O83" s="6" t="s">
        <v>392</v>
      </c>
      <c r="P83" s="6"/>
    </row>
    <row r="84" customFormat="false" ht="27.75" hidden="false" customHeight="true" outlineLevel="0" collapsed="false">
      <c r="A84" s="5" t="n">
        <v>117</v>
      </c>
      <c r="B84" s="6" t="s">
        <v>20</v>
      </c>
      <c r="C84" s="6" t="s">
        <v>393</v>
      </c>
      <c r="D84" s="6" t="s">
        <v>78</v>
      </c>
      <c r="E84" s="6"/>
      <c r="F84" s="7" t="s">
        <v>394</v>
      </c>
      <c r="G84" s="7" t="s">
        <v>395</v>
      </c>
      <c r="H84" s="5" t="n">
        <v>1</v>
      </c>
      <c r="I84" s="6"/>
      <c r="J84" s="5" t="n">
        <v>28</v>
      </c>
      <c r="K84" s="6" t="s">
        <v>396</v>
      </c>
      <c r="L84" s="6" t="s">
        <v>397</v>
      </c>
      <c r="M84" s="6"/>
      <c r="N84" s="6"/>
      <c r="O84" s="6" t="s">
        <v>398</v>
      </c>
      <c r="P84" s="6" t="s">
        <v>399</v>
      </c>
    </row>
    <row r="85" customFormat="false" ht="84.75" hidden="false" customHeight="true" outlineLevel="0" collapsed="false">
      <c r="A85" s="5" t="n">
        <v>118</v>
      </c>
      <c r="B85" s="6" t="s">
        <v>20</v>
      </c>
      <c r="C85" s="6" t="s">
        <v>393</v>
      </c>
      <c r="D85" s="6" t="s">
        <v>22</v>
      </c>
      <c r="E85" s="6"/>
      <c r="F85" s="7" t="s">
        <v>400</v>
      </c>
      <c r="G85" s="7" t="s">
        <v>50</v>
      </c>
      <c r="H85" s="5"/>
      <c r="I85" s="6"/>
      <c r="J85" s="5" t="n">
        <v>21</v>
      </c>
      <c r="K85" s="6" t="s">
        <v>51</v>
      </c>
      <c r="L85" s="6"/>
      <c r="M85" s="6" t="s">
        <v>401</v>
      </c>
      <c r="N85" s="6" t="s">
        <v>83</v>
      </c>
      <c r="O85" s="6" t="s">
        <v>402</v>
      </c>
      <c r="P85" s="6" t="s">
        <v>403</v>
      </c>
    </row>
    <row r="86" customFormat="false" ht="175.5" hidden="false" customHeight="true" outlineLevel="0" collapsed="false">
      <c r="A86" s="5" t="n">
        <v>123</v>
      </c>
      <c r="B86" s="6" t="s">
        <v>20</v>
      </c>
      <c r="C86" s="6" t="s">
        <v>393</v>
      </c>
      <c r="D86" s="6" t="s">
        <v>22</v>
      </c>
      <c r="E86" s="6"/>
      <c r="F86" s="7" t="s">
        <v>404</v>
      </c>
      <c r="G86" s="7" t="s">
        <v>31</v>
      </c>
      <c r="H86" s="5" t="n">
        <v>2</v>
      </c>
      <c r="I86" s="6"/>
      <c r="J86" s="5" t="n">
        <v>21</v>
      </c>
      <c r="K86" s="6" t="s">
        <v>405</v>
      </c>
      <c r="L86" s="6" t="s">
        <v>406</v>
      </c>
      <c r="M86" s="6" t="s">
        <v>407</v>
      </c>
      <c r="N86" s="6" t="s">
        <v>408</v>
      </c>
      <c r="O86" s="6" t="s">
        <v>409</v>
      </c>
      <c r="P86" s="6" t="s">
        <v>410</v>
      </c>
    </row>
    <row r="87" customFormat="false" ht="39" hidden="false" customHeight="true" outlineLevel="0" collapsed="false">
      <c r="A87" s="5" t="n">
        <v>122</v>
      </c>
      <c r="B87" s="6" t="s">
        <v>20</v>
      </c>
      <c r="C87" s="6" t="s">
        <v>393</v>
      </c>
      <c r="D87" s="6" t="s">
        <v>22</v>
      </c>
      <c r="E87" s="6"/>
      <c r="F87" s="7" t="s">
        <v>411</v>
      </c>
      <c r="G87" s="7" t="s">
        <v>50</v>
      </c>
      <c r="H87" s="5"/>
      <c r="I87" s="6"/>
      <c r="J87" s="5" t="n">
        <v>28</v>
      </c>
      <c r="K87" s="6" t="s">
        <v>51</v>
      </c>
      <c r="L87" s="6"/>
      <c r="M87" s="6" t="s">
        <v>412</v>
      </c>
      <c r="N87" s="6" t="s">
        <v>166</v>
      </c>
      <c r="O87" s="6" t="s">
        <v>413</v>
      </c>
      <c r="P87" s="6" t="s">
        <v>403</v>
      </c>
    </row>
    <row r="88" customFormat="false" ht="96" hidden="false" customHeight="true" outlineLevel="0" collapsed="false">
      <c r="A88" s="5" t="n">
        <v>296</v>
      </c>
      <c r="B88" s="6" t="s">
        <v>20</v>
      </c>
      <c r="C88" s="6" t="s">
        <v>393</v>
      </c>
      <c r="D88" s="6" t="s">
        <v>22</v>
      </c>
      <c r="E88" s="6"/>
      <c r="F88" s="7" t="s">
        <v>414</v>
      </c>
      <c r="G88" s="7" t="s">
        <v>31</v>
      </c>
      <c r="H88" s="5" t="n">
        <v>2</v>
      </c>
      <c r="I88" s="6"/>
      <c r="J88" s="5" t="n">
        <v>28</v>
      </c>
      <c r="K88" s="6" t="s">
        <v>415</v>
      </c>
      <c r="L88" s="6" t="s">
        <v>416</v>
      </c>
      <c r="M88" s="6" t="s">
        <v>417</v>
      </c>
      <c r="N88" s="6" t="s">
        <v>231</v>
      </c>
      <c r="O88" s="6" t="s">
        <v>418</v>
      </c>
      <c r="P88" s="6" t="s">
        <v>403</v>
      </c>
    </row>
    <row r="89" customFormat="false" ht="84.75" hidden="false" customHeight="true" outlineLevel="0" collapsed="false">
      <c r="A89" s="5" t="n">
        <v>119</v>
      </c>
      <c r="B89" s="6" t="s">
        <v>20</v>
      </c>
      <c r="C89" s="6" t="s">
        <v>393</v>
      </c>
      <c r="D89" s="6" t="s">
        <v>22</v>
      </c>
      <c r="E89" s="6"/>
      <c r="F89" s="7" t="s">
        <v>419</v>
      </c>
      <c r="G89" s="7" t="s">
        <v>31</v>
      </c>
      <c r="H89" s="5" t="n">
        <v>2</v>
      </c>
      <c r="I89" s="6"/>
      <c r="J89" s="5" t="n">
        <v>28</v>
      </c>
      <c r="K89" s="6" t="s">
        <v>80</v>
      </c>
      <c r="L89" s="6" t="s">
        <v>181</v>
      </c>
      <c r="M89" s="6" t="s">
        <v>420</v>
      </c>
      <c r="N89" s="6" t="s">
        <v>83</v>
      </c>
      <c r="O89" s="6" t="s">
        <v>235</v>
      </c>
      <c r="P89" s="6" t="s">
        <v>403</v>
      </c>
    </row>
    <row r="90" customFormat="false" ht="61.5" hidden="false" customHeight="true" outlineLevel="0" collapsed="false">
      <c r="A90" s="5" t="n">
        <v>121</v>
      </c>
      <c r="B90" s="6" t="s">
        <v>20</v>
      </c>
      <c r="C90" s="6" t="s">
        <v>393</v>
      </c>
      <c r="D90" s="6" t="s">
        <v>22</v>
      </c>
      <c r="E90" s="6"/>
      <c r="F90" s="7" t="s">
        <v>421</v>
      </c>
      <c r="G90" s="7" t="s">
        <v>31</v>
      </c>
      <c r="H90" s="5" t="n">
        <v>2</v>
      </c>
      <c r="I90" s="6"/>
      <c r="J90" s="5" t="n">
        <v>28</v>
      </c>
      <c r="K90" s="6" t="s">
        <v>422</v>
      </c>
      <c r="L90" s="6" t="s">
        <v>423</v>
      </c>
      <c r="M90" s="6" t="s">
        <v>424</v>
      </c>
      <c r="N90" s="6"/>
      <c r="O90" s="6" t="s">
        <v>425</v>
      </c>
      <c r="P90" s="6" t="s">
        <v>403</v>
      </c>
    </row>
    <row r="91" customFormat="false" ht="61.5" hidden="false" customHeight="true" outlineLevel="0" collapsed="false">
      <c r="A91" s="5" t="n">
        <v>120</v>
      </c>
      <c r="B91" s="6" t="s">
        <v>20</v>
      </c>
      <c r="C91" s="6" t="s">
        <v>393</v>
      </c>
      <c r="D91" s="6" t="s">
        <v>22</v>
      </c>
      <c r="E91" s="6"/>
      <c r="F91" s="7" t="s">
        <v>426</v>
      </c>
      <c r="G91" s="7" t="s">
        <v>31</v>
      </c>
      <c r="H91" s="5" t="n">
        <v>2</v>
      </c>
      <c r="I91" s="6"/>
      <c r="J91" s="5" t="n">
        <v>28</v>
      </c>
      <c r="K91" s="6" t="s">
        <v>422</v>
      </c>
      <c r="L91" s="6" t="s">
        <v>423</v>
      </c>
      <c r="M91" s="6" t="s">
        <v>427</v>
      </c>
      <c r="N91" s="6"/>
      <c r="O91" s="6" t="s">
        <v>428</v>
      </c>
      <c r="P91" s="6" t="s">
        <v>429</v>
      </c>
    </row>
    <row r="92" customFormat="false" ht="50.25" hidden="false" customHeight="true" outlineLevel="0" collapsed="false">
      <c r="A92" s="5" t="n">
        <v>83</v>
      </c>
      <c r="B92" s="6" t="s">
        <v>20</v>
      </c>
      <c r="C92" s="6" t="s">
        <v>393</v>
      </c>
      <c r="D92" s="6" t="s">
        <v>22</v>
      </c>
      <c r="E92" s="6"/>
      <c r="F92" s="7" t="s">
        <v>430</v>
      </c>
      <c r="G92" s="7" t="s">
        <v>50</v>
      </c>
      <c r="H92" s="5"/>
      <c r="I92" s="6"/>
      <c r="J92" s="5" t="n">
        <v>21</v>
      </c>
      <c r="K92" s="6" t="s">
        <v>431</v>
      </c>
      <c r="L92" s="6"/>
      <c r="M92" s="6" t="s">
        <v>432</v>
      </c>
      <c r="N92" s="6" t="s">
        <v>28</v>
      </c>
      <c r="O92" s="6" t="s">
        <v>433</v>
      </c>
      <c r="P92" s="6" t="s">
        <v>403</v>
      </c>
    </row>
    <row r="93" customFormat="false" ht="107.25" hidden="false" customHeight="true" outlineLevel="0" collapsed="false">
      <c r="A93" s="5" t="n">
        <v>127</v>
      </c>
      <c r="B93" s="6" t="s">
        <v>20</v>
      </c>
      <c r="C93" s="6" t="s">
        <v>393</v>
      </c>
      <c r="D93" s="6" t="s">
        <v>434</v>
      </c>
      <c r="E93" s="6"/>
      <c r="F93" s="7" t="s">
        <v>435</v>
      </c>
      <c r="G93" s="7" t="s">
        <v>50</v>
      </c>
      <c r="H93" s="5"/>
      <c r="I93" s="6"/>
      <c r="J93" s="5" t="n">
        <v>21</v>
      </c>
      <c r="K93" s="6" t="s">
        <v>51</v>
      </c>
      <c r="L93" s="6"/>
      <c r="M93" s="6" t="s">
        <v>436</v>
      </c>
      <c r="N93" s="6" t="s">
        <v>83</v>
      </c>
      <c r="O93" s="6" t="s">
        <v>437</v>
      </c>
      <c r="P93" s="6" t="s">
        <v>438</v>
      </c>
    </row>
    <row r="94" customFormat="false" ht="107.25" hidden="false" customHeight="true" outlineLevel="0" collapsed="false">
      <c r="A94" s="5" t="n">
        <v>125</v>
      </c>
      <c r="B94" s="6" t="s">
        <v>20</v>
      </c>
      <c r="C94" s="6" t="s">
        <v>393</v>
      </c>
      <c r="D94" s="6" t="s">
        <v>434</v>
      </c>
      <c r="E94" s="6"/>
      <c r="F94" s="7" t="s">
        <v>439</v>
      </c>
      <c r="G94" s="7" t="s">
        <v>395</v>
      </c>
      <c r="H94" s="5" t="n">
        <v>1</v>
      </c>
      <c r="I94" s="6"/>
      <c r="J94" s="5" t="n">
        <v>21</v>
      </c>
      <c r="K94" s="6" t="s">
        <v>440</v>
      </c>
      <c r="L94" s="6" t="s">
        <v>441</v>
      </c>
      <c r="M94" s="6"/>
      <c r="N94" s="6"/>
      <c r="O94" s="6" t="s">
        <v>442</v>
      </c>
      <c r="P94" s="6"/>
    </row>
    <row r="95" customFormat="false" ht="84.75" hidden="false" customHeight="true" outlineLevel="0" collapsed="false">
      <c r="A95" s="5" t="n">
        <v>126</v>
      </c>
      <c r="B95" s="6" t="s">
        <v>20</v>
      </c>
      <c r="C95" s="6" t="s">
        <v>393</v>
      </c>
      <c r="D95" s="6" t="s">
        <v>434</v>
      </c>
      <c r="E95" s="6"/>
      <c r="F95" s="7" t="s">
        <v>443</v>
      </c>
      <c r="G95" s="7" t="s">
        <v>31</v>
      </c>
      <c r="H95" s="5" t="n">
        <v>2</v>
      </c>
      <c r="I95" s="6"/>
      <c r="J95" s="5" t="n">
        <v>21</v>
      </c>
      <c r="K95" s="6" t="s">
        <v>228</v>
      </c>
      <c r="L95" s="6" t="s">
        <v>229</v>
      </c>
      <c r="M95" s="6" t="s">
        <v>444</v>
      </c>
      <c r="N95" s="6" t="s">
        <v>231</v>
      </c>
      <c r="O95" s="6" t="s">
        <v>445</v>
      </c>
      <c r="P95" s="6" t="s">
        <v>438</v>
      </c>
    </row>
    <row r="96" customFormat="false" ht="107.25" hidden="false" customHeight="true" outlineLevel="0" collapsed="false">
      <c r="A96" s="5" t="n">
        <v>124</v>
      </c>
      <c r="B96" s="6" t="s">
        <v>20</v>
      </c>
      <c r="C96" s="6" t="s">
        <v>393</v>
      </c>
      <c r="D96" s="6" t="s">
        <v>434</v>
      </c>
      <c r="E96" s="6"/>
      <c r="F96" s="7" t="s">
        <v>446</v>
      </c>
      <c r="G96" s="7" t="s">
        <v>31</v>
      </c>
      <c r="H96" s="5" t="n">
        <v>2</v>
      </c>
      <c r="I96" s="6"/>
      <c r="J96" s="5" t="n">
        <v>28</v>
      </c>
      <c r="K96" s="6" t="s">
        <v>447</v>
      </c>
      <c r="L96" s="6" t="s">
        <v>448</v>
      </c>
      <c r="M96" s="6" t="s">
        <v>449</v>
      </c>
      <c r="N96" s="6" t="s">
        <v>126</v>
      </c>
      <c r="O96" s="6" t="s">
        <v>450</v>
      </c>
      <c r="P96" s="6"/>
    </row>
    <row r="97" customFormat="false" ht="72.75" hidden="false" customHeight="true" outlineLevel="0" collapsed="false">
      <c r="A97" s="5" t="n">
        <v>115</v>
      </c>
      <c r="B97" s="6" t="s">
        <v>20</v>
      </c>
      <c r="C97" s="6" t="s">
        <v>393</v>
      </c>
      <c r="D97" s="6" t="s">
        <v>324</v>
      </c>
      <c r="E97" s="6"/>
      <c r="F97" s="7" t="s">
        <v>451</v>
      </c>
      <c r="G97" s="7" t="s">
        <v>31</v>
      </c>
      <c r="H97" s="5" t="n">
        <v>2</v>
      </c>
      <c r="I97" s="6"/>
      <c r="J97" s="5" t="n">
        <v>0</v>
      </c>
      <c r="K97" s="6" t="s">
        <v>452</v>
      </c>
      <c r="L97" s="6" t="s">
        <v>453</v>
      </c>
      <c r="M97" s="6" t="s">
        <v>27</v>
      </c>
      <c r="N97" s="6" t="s">
        <v>454</v>
      </c>
      <c r="O97" s="6" t="s">
        <v>455</v>
      </c>
      <c r="P97" s="6" t="s">
        <v>456</v>
      </c>
    </row>
    <row r="98" customFormat="false" ht="84.75" hidden="false" customHeight="true" outlineLevel="0" collapsed="false">
      <c r="A98" s="5" t="n">
        <v>8</v>
      </c>
      <c r="B98" s="6" t="s">
        <v>20</v>
      </c>
      <c r="C98" s="6" t="s">
        <v>393</v>
      </c>
      <c r="D98" s="6" t="s">
        <v>324</v>
      </c>
      <c r="E98" s="6"/>
      <c r="F98" s="7" t="s">
        <v>457</v>
      </c>
      <c r="G98" s="7" t="s">
        <v>31</v>
      </c>
      <c r="H98" s="5" t="n">
        <v>3</v>
      </c>
      <c r="I98" s="6"/>
      <c r="J98" s="5" t="n">
        <v>28</v>
      </c>
      <c r="K98" s="6" t="s">
        <v>458</v>
      </c>
      <c r="L98" s="6" t="s">
        <v>459</v>
      </c>
      <c r="M98" s="6" t="s">
        <v>460</v>
      </c>
      <c r="N98" s="6" t="s">
        <v>461</v>
      </c>
      <c r="O98" s="6" t="s">
        <v>462</v>
      </c>
      <c r="P98" s="6" t="s">
        <v>463</v>
      </c>
    </row>
    <row r="99" customFormat="false" ht="50.25" hidden="false" customHeight="true" outlineLevel="0" collapsed="false">
      <c r="A99" s="5" t="n">
        <v>116</v>
      </c>
      <c r="B99" s="6" t="s">
        <v>20</v>
      </c>
      <c r="C99" s="6" t="s">
        <v>393</v>
      </c>
      <c r="D99" s="6" t="s">
        <v>324</v>
      </c>
      <c r="E99" s="6"/>
      <c r="F99" s="7" t="s">
        <v>464</v>
      </c>
      <c r="G99" s="7" t="s">
        <v>50</v>
      </c>
      <c r="H99" s="5"/>
      <c r="I99" s="6"/>
      <c r="J99" s="5" t="n">
        <v>28</v>
      </c>
      <c r="K99" s="6" t="s">
        <v>51</v>
      </c>
      <c r="L99" s="6"/>
      <c r="M99" s="6" t="s">
        <v>82</v>
      </c>
      <c r="N99" s="6" t="s">
        <v>83</v>
      </c>
      <c r="O99" s="6" t="s">
        <v>465</v>
      </c>
      <c r="P99" s="6" t="s">
        <v>466</v>
      </c>
    </row>
    <row r="100" customFormat="false" ht="96" hidden="false" customHeight="true" outlineLevel="0" collapsed="false">
      <c r="A100" s="5" t="n">
        <v>308</v>
      </c>
      <c r="B100" s="6" t="s">
        <v>20</v>
      </c>
      <c r="C100" s="6" t="s">
        <v>467</v>
      </c>
      <c r="D100" s="6" t="s">
        <v>22</v>
      </c>
      <c r="E100" s="6"/>
      <c r="F100" s="7" t="s">
        <v>468</v>
      </c>
      <c r="G100" s="7" t="s">
        <v>31</v>
      </c>
      <c r="H100" s="5" t="n">
        <v>2</v>
      </c>
      <c r="I100" s="6"/>
      <c r="J100" s="5" t="n">
        <v>21</v>
      </c>
      <c r="K100" s="6" t="s">
        <v>228</v>
      </c>
      <c r="L100" s="6" t="s">
        <v>229</v>
      </c>
      <c r="M100" s="6" t="s">
        <v>469</v>
      </c>
      <c r="N100" s="6" t="s">
        <v>231</v>
      </c>
      <c r="O100" s="6" t="s">
        <v>470</v>
      </c>
      <c r="P100" s="6" t="s">
        <v>248</v>
      </c>
    </row>
    <row r="101" customFormat="false" ht="72.75" hidden="false" customHeight="true" outlineLevel="0" collapsed="false">
      <c r="A101" s="5" t="n">
        <v>309</v>
      </c>
      <c r="B101" s="6" t="s">
        <v>20</v>
      </c>
      <c r="C101" s="6" t="s">
        <v>467</v>
      </c>
      <c r="D101" s="6" t="s">
        <v>22</v>
      </c>
      <c r="E101" s="6"/>
      <c r="F101" s="7" t="s">
        <v>471</v>
      </c>
      <c r="G101" s="7" t="s">
        <v>31</v>
      </c>
      <c r="H101" s="5" t="n">
        <v>2</v>
      </c>
      <c r="I101" s="6"/>
      <c r="J101" s="5" t="n">
        <v>21</v>
      </c>
      <c r="K101" s="6" t="s">
        <v>228</v>
      </c>
      <c r="L101" s="6" t="s">
        <v>229</v>
      </c>
      <c r="M101" s="6" t="s">
        <v>241</v>
      </c>
      <c r="N101" s="6" t="s">
        <v>231</v>
      </c>
      <c r="O101" s="6" t="s">
        <v>472</v>
      </c>
      <c r="P101" s="6"/>
    </row>
    <row r="102" customFormat="false" ht="186.75" hidden="false" customHeight="true" outlineLevel="0" collapsed="false">
      <c r="A102" s="5" t="s">
        <v>473</v>
      </c>
      <c r="B102" s="6" t="s">
        <v>20</v>
      </c>
      <c r="C102" s="6" t="s">
        <v>467</v>
      </c>
      <c r="D102" s="6" t="s">
        <v>22</v>
      </c>
      <c r="E102" s="6"/>
      <c r="F102" s="7" t="s">
        <v>474</v>
      </c>
      <c r="G102" s="7" t="s">
        <v>24</v>
      </c>
      <c r="H102" s="5" t="n">
        <v>3</v>
      </c>
      <c r="I102" s="6"/>
      <c r="J102" s="5" t="n">
        <v>28</v>
      </c>
      <c r="K102" s="6" t="s">
        <v>475</v>
      </c>
      <c r="L102" s="6" t="s">
        <v>476</v>
      </c>
      <c r="M102" s="6" t="s">
        <v>477</v>
      </c>
      <c r="N102" s="6" t="s">
        <v>231</v>
      </c>
      <c r="O102" s="6" t="s">
        <v>478</v>
      </c>
      <c r="P102" s="6"/>
    </row>
    <row r="103" customFormat="false" ht="84.75" hidden="false" customHeight="true" outlineLevel="0" collapsed="false">
      <c r="A103" s="5" t="n">
        <v>128</v>
      </c>
      <c r="B103" s="6" t="s">
        <v>20</v>
      </c>
      <c r="C103" s="6" t="s">
        <v>467</v>
      </c>
      <c r="D103" s="6" t="s">
        <v>324</v>
      </c>
      <c r="E103" s="6"/>
      <c r="F103" s="7" t="s">
        <v>479</v>
      </c>
      <c r="G103" s="7" t="s">
        <v>31</v>
      </c>
      <c r="H103" s="5" t="n">
        <v>2</v>
      </c>
      <c r="I103" s="6"/>
      <c r="J103" s="5" t="n">
        <v>28</v>
      </c>
      <c r="K103" s="6" t="s">
        <v>480</v>
      </c>
      <c r="L103" s="6" t="s">
        <v>481</v>
      </c>
      <c r="M103" s="6" t="s">
        <v>241</v>
      </c>
      <c r="N103" s="6" t="s">
        <v>231</v>
      </c>
      <c r="O103" s="6" t="s">
        <v>482</v>
      </c>
      <c r="P103" s="6" t="s">
        <v>466</v>
      </c>
    </row>
    <row r="104" customFormat="false" ht="129.75" hidden="false" customHeight="true" outlineLevel="0" collapsed="false">
      <c r="A104" s="5" t="s">
        <v>483</v>
      </c>
      <c r="B104" s="6" t="s">
        <v>484</v>
      </c>
      <c r="C104" s="6" t="s">
        <v>485</v>
      </c>
      <c r="D104" s="6" t="s">
        <v>35</v>
      </c>
      <c r="E104" s="6"/>
      <c r="F104" s="7" t="s">
        <v>486</v>
      </c>
      <c r="G104" s="7" t="s">
        <v>24</v>
      </c>
      <c r="H104" s="5" t="n">
        <v>3</v>
      </c>
      <c r="I104" s="6"/>
      <c r="J104" s="5" t="n">
        <v>0</v>
      </c>
      <c r="K104" s="6" t="s">
        <v>487</v>
      </c>
      <c r="L104" s="6" t="s">
        <v>488</v>
      </c>
      <c r="M104" s="6" t="s">
        <v>27</v>
      </c>
      <c r="N104" s="6" t="s">
        <v>454</v>
      </c>
      <c r="O104" s="6" t="s">
        <v>489</v>
      </c>
      <c r="P104" s="6" t="s">
        <v>490</v>
      </c>
    </row>
    <row r="105" customFormat="false" ht="96" hidden="false" customHeight="true" outlineLevel="0" collapsed="false">
      <c r="A105" s="5" t="n">
        <v>192</v>
      </c>
      <c r="B105" s="6" t="s">
        <v>484</v>
      </c>
      <c r="C105" s="6" t="s">
        <v>485</v>
      </c>
      <c r="D105" s="6" t="s">
        <v>35</v>
      </c>
      <c r="E105" s="6"/>
      <c r="F105" s="7" t="s">
        <v>491</v>
      </c>
      <c r="G105" s="7" t="s">
        <v>331</v>
      </c>
      <c r="H105" s="5" t="n">
        <v>2</v>
      </c>
      <c r="I105" s="6"/>
      <c r="J105" s="5" t="n">
        <v>0</v>
      </c>
      <c r="K105" s="6" t="s">
        <v>492</v>
      </c>
      <c r="L105" s="6" t="s">
        <v>493</v>
      </c>
      <c r="M105" s="6" t="s">
        <v>494</v>
      </c>
      <c r="N105" s="6" t="s">
        <v>495</v>
      </c>
      <c r="O105" s="6" t="s">
        <v>496</v>
      </c>
      <c r="P105" s="6"/>
    </row>
    <row r="106" customFormat="false" ht="50.25" hidden="false" customHeight="true" outlineLevel="0" collapsed="false">
      <c r="A106" s="5" t="s">
        <v>497</v>
      </c>
      <c r="B106" s="6" t="s">
        <v>484</v>
      </c>
      <c r="C106" s="6" t="s">
        <v>485</v>
      </c>
      <c r="D106" s="6" t="s">
        <v>498</v>
      </c>
      <c r="E106" s="6"/>
      <c r="F106" s="7" t="s">
        <v>499</v>
      </c>
      <c r="G106" s="7" t="s">
        <v>24</v>
      </c>
      <c r="H106" s="5" t="n">
        <v>4</v>
      </c>
      <c r="I106" s="6"/>
      <c r="J106" s="5" t="n">
        <v>21</v>
      </c>
      <c r="K106" s="6" t="s">
        <v>500</v>
      </c>
      <c r="L106" s="6" t="s">
        <v>501</v>
      </c>
      <c r="M106" s="6"/>
      <c r="N106" s="6"/>
      <c r="O106" s="6" t="s">
        <v>502</v>
      </c>
      <c r="P106" s="6"/>
    </row>
    <row r="107" customFormat="false" ht="118.5" hidden="false" customHeight="true" outlineLevel="0" collapsed="false">
      <c r="A107" s="5" t="n">
        <v>196</v>
      </c>
      <c r="B107" s="6" t="s">
        <v>484</v>
      </c>
      <c r="C107" s="6" t="s">
        <v>485</v>
      </c>
      <c r="D107" s="6" t="s">
        <v>498</v>
      </c>
      <c r="E107" s="6"/>
      <c r="F107" s="7" t="s">
        <v>503</v>
      </c>
      <c r="G107" s="7" t="s">
        <v>31</v>
      </c>
      <c r="H107" s="5" t="n">
        <v>2</v>
      </c>
      <c r="I107" s="6"/>
      <c r="J107" s="5" t="n">
        <v>21</v>
      </c>
      <c r="K107" s="6" t="s">
        <v>504</v>
      </c>
      <c r="L107" s="6" t="s">
        <v>505</v>
      </c>
      <c r="M107" s="6" t="s">
        <v>506</v>
      </c>
      <c r="N107" s="6" t="s">
        <v>368</v>
      </c>
      <c r="O107" s="6" t="s">
        <v>507</v>
      </c>
      <c r="P107" s="6"/>
    </row>
    <row r="108" customFormat="false" ht="96" hidden="false" customHeight="true" outlineLevel="0" collapsed="false">
      <c r="A108" s="5" t="n">
        <v>194</v>
      </c>
      <c r="B108" s="6" t="s">
        <v>484</v>
      </c>
      <c r="C108" s="6" t="s">
        <v>485</v>
      </c>
      <c r="D108" s="6" t="s">
        <v>498</v>
      </c>
      <c r="E108" s="6"/>
      <c r="F108" s="7" t="s">
        <v>508</v>
      </c>
      <c r="G108" s="7" t="s">
        <v>31</v>
      </c>
      <c r="H108" s="5" t="n">
        <v>2</v>
      </c>
      <c r="I108" s="6"/>
      <c r="J108" s="5" t="n">
        <v>21</v>
      </c>
      <c r="K108" s="6" t="s">
        <v>504</v>
      </c>
      <c r="L108" s="6" t="s">
        <v>505</v>
      </c>
      <c r="M108" s="6" t="s">
        <v>509</v>
      </c>
      <c r="N108" s="6" t="s">
        <v>368</v>
      </c>
      <c r="O108" s="6" t="s">
        <v>510</v>
      </c>
      <c r="P108" s="6"/>
    </row>
    <row r="109" customFormat="false" ht="96" hidden="false" customHeight="true" outlineLevel="0" collapsed="false">
      <c r="A109" s="5" t="n">
        <v>195</v>
      </c>
      <c r="B109" s="6" t="s">
        <v>484</v>
      </c>
      <c r="C109" s="6" t="s">
        <v>485</v>
      </c>
      <c r="D109" s="6" t="s">
        <v>498</v>
      </c>
      <c r="E109" s="6"/>
      <c r="F109" s="7" t="s">
        <v>511</v>
      </c>
      <c r="G109" s="7" t="s">
        <v>31</v>
      </c>
      <c r="H109" s="5" t="n">
        <v>2</v>
      </c>
      <c r="I109" s="6"/>
      <c r="J109" s="5" t="n">
        <v>21</v>
      </c>
      <c r="K109" s="6" t="s">
        <v>504</v>
      </c>
      <c r="L109" s="6" t="s">
        <v>505</v>
      </c>
      <c r="M109" s="6" t="s">
        <v>512</v>
      </c>
      <c r="N109" s="6" t="s">
        <v>368</v>
      </c>
      <c r="O109" s="6" t="s">
        <v>513</v>
      </c>
      <c r="P109" s="6"/>
    </row>
    <row r="110" customFormat="false" ht="107.25" hidden="false" customHeight="true" outlineLevel="0" collapsed="false">
      <c r="A110" s="5" t="n">
        <v>193</v>
      </c>
      <c r="B110" s="6" t="s">
        <v>484</v>
      </c>
      <c r="C110" s="6" t="s">
        <v>485</v>
      </c>
      <c r="D110" s="6" t="s">
        <v>498</v>
      </c>
      <c r="E110" s="6"/>
      <c r="F110" s="7" t="s">
        <v>514</v>
      </c>
      <c r="G110" s="7" t="s">
        <v>31</v>
      </c>
      <c r="H110" s="5" t="n">
        <v>2</v>
      </c>
      <c r="I110" s="6"/>
      <c r="J110" s="5" t="n">
        <v>21</v>
      </c>
      <c r="K110" s="6" t="s">
        <v>32</v>
      </c>
      <c r="L110" s="6" t="s">
        <v>515</v>
      </c>
      <c r="M110" s="6" t="s">
        <v>516</v>
      </c>
      <c r="N110" s="6" t="s">
        <v>28</v>
      </c>
      <c r="O110" s="6" t="s">
        <v>517</v>
      </c>
      <c r="P110" s="6"/>
    </row>
    <row r="111" customFormat="false" ht="72.75" hidden="false" customHeight="true" outlineLevel="0" collapsed="false">
      <c r="A111" s="5" t="s">
        <v>518</v>
      </c>
      <c r="B111" s="6" t="s">
        <v>484</v>
      </c>
      <c r="C111" s="6" t="s">
        <v>485</v>
      </c>
      <c r="D111" s="6" t="s">
        <v>498</v>
      </c>
      <c r="E111" s="6"/>
      <c r="F111" s="7" t="s">
        <v>519</v>
      </c>
      <c r="G111" s="7" t="s">
        <v>24</v>
      </c>
      <c r="H111" s="5" t="n">
        <v>4</v>
      </c>
      <c r="I111" s="6"/>
      <c r="J111" s="5" t="n">
        <v>21</v>
      </c>
      <c r="K111" s="6" t="s">
        <v>520</v>
      </c>
      <c r="L111" s="6" t="s">
        <v>521</v>
      </c>
      <c r="M111" s="6"/>
      <c r="N111" s="6"/>
      <c r="O111" s="6" t="s">
        <v>522</v>
      </c>
      <c r="P111" s="6"/>
    </row>
    <row r="112" customFormat="false" ht="164.25" hidden="false" customHeight="true" outlineLevel="0" collapsed="false">
      <c r="A112" s="5" t="n">
        <v>197</v>
      </c>
      <c r="B112" s="6" t="s">
        <v>484</v>
      </c>
      <c r="C112" s="6" t="s">
        <v>523</v>
      </c>
      <c r="D112" s="6" t="s">
        <v>78</v>
      </c>
      <c r="E112" s="6"/>
      <c r="F112" s="7" t="s">
        <v>524</v>
      </c>
      <c r="G112" s="7" t="s">
        <v>331</v>
      </c>
      <c r="H112" s="5" t="n">
        <v>1</v>
      </c>
      <c r="I112" s="6"/>
      <c r="J112" s="5" t="n">
        <v>0</v>
      </c>
      <c r="K112" s="6" t="s">
        <v>525</v>
      </c>
      <c r="L112" s="6" t="s">
        <v>526</v>
      </c>
      <c r="M112" s="6" t="s">
        <v>527</v>
      </c>
      <c r="N112" s="6" t="s">
        <v>528</v>
      </c>
      <c r="O112" s="6" t="s">
        <v>529</v>
      </c>
      <c r="P112" s="6" t="s">
        <v>530</v>
      </c>
    </row>
    <row r="113" customFormat="false" ht="50.25" hidden="false" customHeight="true" outlineLevel="0" collapsed="false">
      <c r="A113" s="5" t="s">
        <v>531</v>
      </c>
      <c r="B113" s="6" t="s">
        <v>484</v>
      </c>
      <c r="C113" s="6" t="s">
        <v>523</v>
      </c>
      <c r="D113" s="6" t="s">
        <v>498</v>
      </c>
      <c r="E113" s="6"/>
      <c r="F113" s="7" t="s">
        <v>532</v>
      </c>
      <c r="G113" s="7" t="s">
        <v>24</v>
      </c>
      <c r="H113" s="5" t="n">
        <v>4</v>
      </c>
      <c r="I113" s="6"/>
      <c r="J113" s="5" t="n">
        <v>21</v>
      </c>
      <c r="K113" s="6" t="s">
        <v>533</v>
      </c>
      <c r="L113" s="6" t="s">
        <v>534</v>
      </c>
      <c r="M113" s="6"/>
      <c r="N113" s="6"/>
      <c r="O113" s="6" t="s">
        <v>535</v>
      </c>
      <c r="P113" s="6"/>
    </row>
    <row r="114" customFormat="false" ht="72.75" hidden="false" customHeight="true" outlineLevel="0" collapsed="false">
      <c r="A114" s="5" t="s">
        <v>536</v>
      </c>
      <c r="B114" s="6" t="s">
        <v>484</v>
      </c>
      <c r="C114" s="6" t="s">
        <v>523</v>
      </c>
      <c r="D114" s="6" t="s">
        <v>498</v>
      </c>
      <c r="E114" s="6"/>
      <c r="F114" s="7" t="s">
        <v>537</v>
      </c>
      <c r="G114" s="7" t="s">
        <v>24</v>
      </c>
      <c r="H114" s="5" t="n">
        <v>4</v>
      </c>
      <c r="I114" s="6"/>
      <c r="J114" s="5" t="n">
        <v>28</v>
      </c>
      <c r="K114" s="6" t="s">
        <v>538</v>
      </c>
      <c r="L114" s="6" t="s">
        <v>539</v>
      </c>
      <c r="M114" s="6"/>
      <c r="N114" s="6"/>
      <c r="O114" s="6" t="s">
        <v>540</v>
      </c>
      <c r="P114" s="6"/>
    </row>
    <row r="115" customFormat="false" ht="15.75" hidden="false" customHeight="true" outlineLevel="0" collapsed="false">
      <c r="A115" s="5" t="n">
        <v>200</v>
      </c>
      <c r="B115" s="6" t="s">
        <v>484</v>
      </c>
      <c r="C115" s="6" t="s">
        <v>523</v>
      </c>
      <c r="D115" s="6" t="s">
        <v>498</v>
      </c>
      <c r="E115" s="6"/>
      <c r="F115" s="7" t="s">
        <v>541</v>
      </c>
      <c r="G115" s="7" t="s">
        <v>50</v>
      </c>
      <c r="H115" s="5"/>
      <c r="I115" s="6"/>
      <c r="J115" s="5" t="n">
        <v>28</v>
      </c>
      <c r="K115" s="6" t="s">
        <v>51</v>
      </c>
      <c r="L115" s="6"/>
      <c r="M115" s="6"/>
      <c r="N115" s="6"/>
      <c r="O115" s="6" t="s">
        <v>542</v>
      </c>
      <c r="P115" s="6"/>
    </row>
    <row r="116" customFormat="false" ht="15.75" hidden="false" customHeight="true" outlineLevel="0" collapsed="false">
      <c r="A116" s="5" t="n">
        <v>201</v>
      </c>
      <c r="B116" s="6" t="s">
        <v>484</v>
      </c>
      <c r="C116" s="6" t="s">
        <v>523</v>
      </c>
      <c r="D116" s="6" t="s">
        <v>498</v>
      </c>
      <c r="E116" s="6"/>
      <c r="F116" s="7" t="s">
        <v>543</v>
      </c>
      <c r="G116" s="7" t="s">
        <v>50</v>
      </c>
      <c r="H116" s="5"/>
      <c r="I116" s="6"/>
      <c r="J116" s="5" t="n">
        <v>28</v>
      </c>
      <c r="K116" s="6" t="s">
        <v>51</v>
      </c>
      <c r="L116" s="6"/>
      <c r="M116" s="6"/>
      <c r="N116" s="6"/>
      <c r="O116" s="6" t="s">
        <v>544</v>
      </c>
      <c r="P116" s="6"/>
    </row>
    <row r="117" customFormat="false" ht="50.25" hidden="false" customHeight="true" outlineLevel="0" collapsed="false">
      <c r="A117" s="5" t="n">
        <v>198</v>
      </c>
      <c r="B117" s="6" t="s">
        <v>484</v>
      </c>
      <c r="C117" s="6" t="s">
        <v>523</v>
      </c>
      <c r="D117" s="6" t="s">
        <v>498</v>
      </c>
      <c r="E117" s="6"/>
      <c r="F117" s="7" t="s">
        <v>545</v>
      </c>
      <c r="G117" s="7" t="s">
        <v>31</v>
      </c>
      <c r="H117" s="5" t="n">
        <v>2</v>
      </c>
      <c r="I117" s="6"/>
      <c r="J117" s="5" t="n">
        <v>21</v>
      </c>
      <c r="K117" s="6" t="s">
        <v>32</v>
      </c>
      <c r="L117" s="6" t="s">
        <v>515</v>
      </c>
      <c r="M117" s="6" t="s">
        <v>258</v>
      </c>
      <c r="N117" s="6" t="s">
        <v>28</v>
      </c>
      <c r="O117" s="6" t="s">
        <v>546</v>
      </c>
      <c r="P117" s="6"/>
    </row>
    <row r="118" customFormat="false" ht="72.75" hidden="false" customHeight="true" outlineLevel="0" collapsed="false">
      <c r="A118" s="5" t="n">
        <v>199</v>
      </c>
      <c r="B118" s="6" t="s">
        <v>484</v>
      </c>
      <c r="C118" s="6" t="s">
        <v>523</v>
      </c>
      <c r="D118" s="6" t="s">
        <v>498</v>
      </c>
      <c r="E118" s="6"/>
      <c r="F118" s="7" t="s">
        <v>547</v>
      </c>
      <c r="G118" s="7" t="s">
        <v>31</v>
      </c>
      <c r="H118" s="5" t="n">
        <v>2</v>
      </c>
      <c r="I118" s="6"/>
      <c r="J118" s="5" t="n">
        <v>21</v>
      </c>
      <c r="K118" s="6" t="s">
        <v>32</v>
      </c>
      <c r="L118" s="6" t="s">
        <v>515</v>
      </c>
      <c r="M118" s="6" t="s">
        <v>548</v>
      </c>
      <c r="N118" s="6" t="s">
        <v>28</v>
      </c>
      <c r="O118" s="6" t="s">
        <v>549</v>
      </c>
      <c r="P118" s="6"/>
    </row>
    <row r="119" customFormat="false" ht="84.75" hidden="false" customHeight="true" outlineLevel="0" collapsed="false">
      <c r="A119" s="5" t="n">
        <v>310</v>
      </c>
      <c r="B119" s="6" t="s">
        <v>484</v>
      </c>
      <c r="C119" s="6" t="s">
        <v>523</v>
      </c>
      <c r="D119" s="6" t="s">
        <v>498</v>
      </c>
      <c r="E119" s="6"/>
      <c r="F119" s="7" t="s">
        <v>550</v>
      </c>
      <c r="G119" s="7" t="s">
        <v>31</v>
      </c>
      <c r="H119" s="5" t="n">
        <v>2</v>
      </c>
      <c r="I119" s="6"/>
      <c r="J119" s="5" t="n">
        <v>21</v>
      </c>
      <c r="K119" s="6" t="s">
        <v>551</v>
      </c>
      <c r="L119" s="6" t="s">
        <v>552</v>
      </c>
      <c r="M119" s="6" t="s">
        <v>553</v>
      </c>
      <c r="N119" s="6" t="s">
        <v>28</v>
      </c>
      <c r="O119" s="6" t="s">
        <v>554</v>
      </c>
      <c r="P119" s="6"/>
    </row>
    <row r="120" customFormat="false" ht="27.75" hidden="false" customHeight="true" outlineLevel="0" collapsed="false">
      <c r="A120" s="5" t="n">
        <v>277</v>
      </c>
      <c r="B120" s="6" t="s">
        <v>484</v>
      </c>
      <c r="C120" s="6" t="s">
        <v>555</v>
      </c>
      <c r="D120" s="6" t="s">
        <v>556</v>
      </c>
      <c r="E120" s="6"/>
      <c r="F120" s="7" t="s">
        <v>557</v>
      </c>
      <c r="G120" s="7" t="s">
        <v>50</v>
      </c>
      <c r="H120" s="5"/>
      <c r="I120" s="6"/>
      <c r="J120" s="5" t="n">
        <v>21</v>
      </c>
      <c r="K120" s="6" t="s">
        <v>51</v>
      </c>
      <c r="L120" s="6"/>
      <c r="M120" s="6" t="s">
        <v>203</v>
      </c>
      <c r="N120" s="6"/>
      <c r="O120" s="6" t="s">
        <v>558</v>
      </c>
      <c r="P120" s="6"/>
    </row>
    <row r="121" customFormat="false" ht="27.75" hidden="false" customHeight="true" outlineLevel="0" collapsed="false">
      <c r="A121" s="5" t="n">
        <v>186</v>
      </c>
      <c r="B121" s="6" t="s">
        <v>484</v>
      </c>
      <c r="C121" s="6" t="s">
        <v>555</v>
      </c>
      <c r="D121" s="6" t="s">
        <v>556</v>
      </c>
      <c r="E121" s="6"/>
      <c r="F121" s="7" t="s">
        <v>559</v>
      </c>
      <c r="G121" s="7" t="s">
        <v>50</v>
      </c>
      <c r="H121" s="5"/>
      <c r="I121" s="6"/>
      <c r="J121" s="5" t="n">
        <v>21</v>
      </c>
      <c r="K121" s="6" t="s">
        <v>51</v>
      </c>
      <c r="L121" s="6"/>
      <c r="M121" s="6" t="s">
        <v>203</v>
      </c>
      <c r="N121" s="6"/>
      <c r="O121" s="6" t="s">
        <v>560</v>
      </c>
      <c r="P121" s="6"/>
    </row>
    <row r="122" customFormat="false" ht="27.75" hidden="false" customHeight="true" outlineLevel="0" collapsed="false">
      <c r="A122" s="5" t="n">
        <v>184</v>
      </c>
      <c r="B122" s="6" t="s">
        <v>484</v>
      </c>
      <c r="C122" s="6" t="s">
        <v>555</v>
      </c>
      <c r="D122" s="6" t="s">
        <v>556</v>
      </c>
      <c r="E122" s="6"/>
      <c r="F122" s="7" t="s">
        <v>561</v>
      </c>
      <c r="G122" s="7" t="s">
        <v>50</v>
      </c>
      <c r="H122" s="5"/>
      <c r="I122" s="6"/>
      <c r="J122" s="5" t="n">
        <v>28</v>
      </c>
      <c r="K122" s="6" t="s">
        <v>51</v>
      </c>
      <c r="L122" s="6"/>
      <c r="M122" s="6"/>
      <c r="N122" s="6"/>
      <c r="O122" s="6" t="s">
        <v>562</v>
      </c>
      <c r="P122" s="6"/>
    </row>
    <row r="123" customFormat="false" ht="27.75" hidden="false" customHeight="true" outlineLevel="0" collapsed="false">
      <c r="A123" s="5" t="n">
        <v>281</v>
      </c>
      <c r="B123" s="6" t="s">
        <v>484</v>
      </c>
      <c r="C123" s="6" t="s">
        <v>555</v>
      </c>
      <c r="D123" s="6" t="s">
        <v>556</v>
      </c>
      <c r="E123" s="6"/>
      <c r="F123" s="7" t="s">
        <v>563</v>
      </c>
      <c r="G123" s="7" t="s">
        <v>50</v>
      </c>
      <c r="H123" s="5"/>
      <c r="I123" s="6"/>
      <c r="J123" s="5" t="n">
        <v>28</v>
      </c>
      <c r="K123" s="6" t="s">
        <v>51</v>
      </c>
      <c r="L123" s="6"/>
      <c r="M123" s="6"/>
      <c r="N123" s="6"/>
      <c r="O123" s="6" t="s">
        <v>564</v>
      </c>
      <c r="P123" s="6"/>
    </row>
    <row r="124" customFormat="false" ht="27.75" hidden="false" customHeight="true" outlineLevel="0" collapsed="false">
      <c r="A124" s="5" t="n">
        <v>185</v>
      </c>
      <c r="B124" s="6" t="s">
        <v>484</v>
      </c>
      <c r="C124" s="6" t="s">
        <v>555</v>
      </c>
      <c r="D124" s="6" t="s">
        <v>556</v>
      </c>
      <c r="E124" s="6"/>
      <c r="F124" s="7" t="s">
        <v>565</v>
      </c>
      <c r="G124" s="7" t="s">
        <v>50</v>
      </c>
      <c r="H124" s="5"/>
      <c r="I124" s="6"/>
      <c r="J124" s="5" t="n">
        <v>21</v>
      </c>
      <c r="K124" s="6" t="s">
        <v>51</v>
      </c>
      <c r="L124" s="6"/>
      <c r="M124" s="6" t="s">
        <v>203</v>
      </c>
      <c r="N124" s="6"/>
      <c r="O124" s="6" t="s">
        <v>566</v>
      </c>
      <c r="P124" s="6"/>
    </row>
    <row r="125" customFormat="false" ht="129.75" hidden="false" customHeight="true" outlineLevel="0" collapsed="false">
      <c r="A125" s="5" t="s">
        <v>567</v>
      </c>
      <c r="B125" s="6" t="s">
        <v>484</v>
      </c>
      <c r="C125" s="6" t="s">
        <v>555</v>
      </c>
      <c r="D125" s="6" t="s">
        <v>568</v>
      </c>
      <c r="E125" s="6"/>
      <c r="F125" s="7" t="s">
        <v>569</v>
      </c>
      <c r="G125" s="7" t="s">
        <v>24</v>
      </c>
      <c r="H125" s="5" t="n">
        <v>3</v>
      </c>
      <c r="I125" s="6"/>
      <c r="J125" s="5" t="n">
        <v>21</v>
      </c>
      <c r="K125" s="6" t="s">
        <v>570</v>
      </c>
      <c r="L125" s="6" t="s">
        <v>571</v>
      </c>
      <c r="M125" s="6" t="s">
        <v>27</v>
      </c>
      <c r="N125" s="6" t="s">
        <v>454</v>
      </c>
      <c r="O125" s="6" t="s">
        <v>572</v>
      </c>
      <c r="P125" s="6"/>
    </row>
    <row r="126" customFormat="false" ht="72.75" hidden="false" customHeight="true" outlineLevel="0" collapsed="false">
      <c r="A126" s="5" t="n">
        <v>183</v>
      </c>
      <c r="B126" s="6" t="s">
        <v>484</v>
      </c>
      <c r="C126" s="6" t="s">
        <v>555</v>
      </c>
      <c r="D126" s="6" t="s">
        <v>568</v>
      </c>
      <c r="E126" s="6"/>
      <c r="F126" s="7" t="s">
        <v>573</v>
      </c>
      <c r="G126" s="7" t="s">
        <v>31</v>
      </c>
      <c r="H126" s="5" t="n">
        <v>2</v>
      </c>
      <c r="I126" s="6"/>
      <c r="J126" s="5" t="n">
        <v>21</v>
      </c>
      <c r="K126" s="6" t="s">
        <v>574</v>
      </c>
      <c r="L126" s="6" t="s">
        <v>575</v>
      </c>
      <c r="M126" s="6" t="s">
        <v>576</v>
      </c>
      <c r="N126" s="6" t="s">
        <v>577</v>
      </c>
      <c r="O126" s="6" t="s">
        <v>578</v>
      </c>
      <c r="P126" s="6"/>
    </row>
    <row r="127" customFormat="false" ht="164.25" hidden="false" customHeight="true" outlineLevel="0" collapsed="false">
      <c r="A127" s="5" t="s">
        <v>579</v>
      </c>
      <c r="B127" s="6" t="s">
        <v>484</v>
      </c>
      <c r="C127" s="6" t="s">
        <v>555</v>
      </c>
      <c r="D127" s="6" t="s">
        <v>568</v>
      </c>
      <c r="E127" s="6"/>
      <c r="F127" s="7" t="s">
        <v>580</v>
      </c>
      <c r="G127" s="7" t="s">
        <v>24</v>
      </c>
      <c r="H127" s="5" t="n">
        <v>3</v>
      </c>
      <c r="I127" s="6"/>
      <c r="J127" s="5" t="n">
        <v>21</v>
      </c>
      <c r="K127" s="6" t="s">
        <v>581</v>
      </c>
      <c r="L127" s="6" t="s">
        <v>582</v>
      </c>
      <c r="M127" s="6" t="s">
        <v>27</v>
      </c>
      <c r="N127" s="6" t="s">
        <v>28</v>
      </c>
      <c r="O127" s="6" t="s">
        <v>583</v>
      </c>
      <c r="P127" s="6"/>
    </row>
    <row r="128" customFormat="false" ht="61.5" hidden="false" customHeight="true" outlineLevel="0" collapsed="false">
      <c r="A128" s="5" t="n">
        <v>278</v>
      </c>
      <c r="B128" s="6" t="s">
        <v>484</v>
      </c>
      <c r="C128" s="6" t="s">
        <v>555</v>
      </c>
      <c r="D128" s="6" t="s">
        <v>584</v>
      </c>
      <c r="E128" s="6"/>
      <c r="F128" s="7" t="s">
        <v>585</v>
      </c>
      <c r="G128" s="7" t="s">
        <v>50</v>
      </c>
      <c r="H128" s="5"/>
      <c r="I128" s="6"/>
      <c r="J128" s="5" t="n">
        <v>21</v>
      </c>
      <c r="K128" s="6" t="s">
        <v>51</v>
      </c>
      <c r="L128" s="6"/>
      <c r="M128" s="6" t="s">
        <v>362</v>
      </c>
      <c r="N128" s="6" t="s">
        <v>454</v>
      </c>
      <c r="O128" s="6" t="s">
        <v>586</v>
      </c>
      <c r="P128" s="6"/>
    </row>
    <row r="129" customFormat="false" ht="84.75" hidden="false" customHeight="true" outlineLevel="0" collapsed="false">
      <c r="A129" s="5" t="n">
        <v>279</v>
      </c>
      <c r="B129" s="6" t="s">
        <v>484</v>
      </c>
      <c r="C129" s="6" t="s">
        <v>555</v>
      </c>
      <c r="D129" s="6" t="s">
        <v>584</v>
      </c>
      <c r="E129" s="6"/>
      <c r="F129" s="7" t="s">
        <v>587</v>
      </c>
      <c r="G129" s="7" t="s">
        <v>50</v>
      </c>
      <c r="H129" s="5"/>
      <c r="I129" s="6"/>
      <c r="J129" s="5" t="n">
        <v>21</v>
      </c>
      <c r="K129" s="6" t="s">
        <v>51</v>
      </c>
      <c r="L129" s="6"/>
      <c r="M129" s="6" t="s">
        <v>588</v>
      </c>
      <c r="N129" s="6" t="s">
        <v>454</v>
      </c>
      <c r="O129" s="6" t="s">
        <v>589</v>
      </c>
      <c r="P129" s="6"/>
    </row>
    <row r="130" customFormat="false" ht="72.75" hidden="false" customHeight="true" outlineLevel="0" collapsed="false">
      <c r="A130" s="5" t="n">
        <v>189</v>
      </c>
      <c r="B130" s="6" t="s">
        <v>484</v>
      </c>
      <c r="C130" s="6" t="s">
        <v>555</v>
      </c>
      <c r="D130" s="6" t="s">
        <v>584</v>
      </c>
      <c r="E130" s="6"/>
      <c r="F130" s="7" t="s">
        <v>590</v>
      </c>
      <c r="G130" s="7" t="s">
        <v>50</v>
      </c>
      <c r="H130" s="5"/>
      <c r="I130" s="6"/>
      <c r="J130" s="5" t="n">
        <v>28</v>
      </c>
      <c r="K130" s="6" t="s">
        <v>591</v>
      </c>
      <c r="L130" s="6"/>
      <c r="M130" s="6" t="s">
        <v>592</v>
      </c>
      <c r="N130" s="6" t="s">
        <v>28</v>
      </c>
      <c r="O130" s="6" t="s">
        <v>593</v>
      </c>
      <c r="P130" s="6"/>
    </row>
    <row r="131" customFormat="false" ht="50.25" hidden="false" customHeight="true" outlineLevel="0" collapsed="false">
      <c r="A131" s="5" t="n">
        <v>188</v>
      </c>
      <c r="B131" s="6" t="s">
        <v>484</v>
      </c>
      <c r="C131" s="6" t="s">
        <v>555</v>
      </c>
      <c r="D131" s="6" t="s">
        <v>584</v>
      </c>
      <c r="E131" s="6"/>
      <c r="F131" s="7" t="s">
        <v>594</v>
      </c>
      <c r="G131" s="7" t="s">
        <v>50</v>
      </c>
      <c r="H131" s="5"/>
      <c r="I131" s="6"/>
      <c r="J131" s="5" t="n">
        <v>28</v>
      </c>
      <c r="K131" s="6" t="s">
        <v>591</v>
      </c>
      <c r="L131" s="6"/>
      <c r="M131" s="6" t="s">
        <v>595</v>
      </c>
      <c r="N131" s="6" t="s">
        <v>28</v>
      </c>
      <c r="O131" s="6" t="s">
        <v>596</v>
      </c>
      <c r="P131" s="6"/>
    </row>
    <row r="132" customFormat="false" ht="50.25" hidden="false" customHeight="true" outlineLevel="0" collapsed="false">
      <c r="A132" s="5" t="n">
        <v>280</v>
      </c>
      <c r="B132" s="6" t="s">
        <v>484</v>
      </c>
      <c r="C132" s="6" t="s">
        <v>555</v>
      </c>
      <c r="D132" s="6" t="s">
        <v>584</v>
      </c>
      <c r="E132" s="6"/>
      <c r="F132" s="7" t="s">
        <v>597</v>
      </c>
      <c r="G132" s="7" t="s">
        <v>31</v>
      </c>
      <c r="H132" s="5" t="n">
        <v>3</v>
      </c>
      <c r="I132" s="6"/>
      <c r="J132" s="5" t="n">
        <v>28</v>
      </c>
      <c r="K132" s="6" t="s">
        <v>43</v>
      </c>
      <c r="L132" s="6" t="s">
        <v>44</v>
      </c>
      <c r="M132" s="6" t="s">
        <v>598</v>
      </c>
      <c r="N132" s="6"/>
      <c r="O132" s="6" t="s">
        <v>599</v>
      </c>
      <c r="P132" s="6"/>
    </row>
    <row r="133" customFormat="false" ht="39" hidden="false" customHeight="true" outlineLevel="0" collapsed="false">
      <c r="A133" s="5" t="n">
        <v>190</v>
      </c>
      <c r="B133" s="6" t="s">
        <v>484</v>
      </c>
      <c r="C133" s="6" t="s">
        <v>555</v>
      </c>
      <c r="D133" s="6" t="s">
        <v>584</v>
      </c>
      <c r="E133" s="6"/>
      <c r="F133" s="7" t="s">
        <v>600</v>
      </c>
      <c r="G133" s="7" t="s">
        <v>31</v>
      </c>
      <c r="H133" s="5" t="n">
        <v>3</v>
      </c>
      <c r="I133" s="6"/>
      <c r="J133" s="5" t="n">
        <v>28</v>
      </c>
      <c r="K133" s="6" t="s">
        <v>43</v>
      </c>
      <c r="L133" s="6" t="s">
        <v>601</v>
      </c>
      <c r="M133" s="6" t="s">
        <v>602</v>
      </c>
      <c r="N133" s="6"/>
      <c r="O133" s="6" t="s">
        <v>603</v>
      </c>
      <c r="P133" s="6"/>
    </row>
    <row r="134" customFormat="false" ht="141.75" hidden="false" customHeight="true" outlineLevel="0" collapsed="false">
      <c r="A134" s="5" t="n">
        <v>191</v>
      </c>
      <c r="B134" s="6" t="s">
        <v>484</v>
      </c>
      <c r="C134" s="6" t="s">
        <v>555</v>
      </c>
      <c r="D134" s="6" t="s">
        <v>584</v>
      </c>
      <c r="E134" s="6"/>
      <c r="F134" s="7" t="s">
        <v>604</v>
      </c>
      <c r="G134" s="7" t="s">
        <v>31</v>
      </c>
      <c r="H134" s="5" t="n">
        <v>3</v>
      </c>
      <c r="I134" s="6"/>
      <c r="J134" s="5" t="n">
        <v>28</v>
      </c>
      <c r="K134" s="6" t="s">
        <v>43</v>
      </c>
      <c r="L134" s="6" t="s">
        <v>44</v>
      </c>
      <c r="M134" s="6" t="s">
        <v>301</v>
      </c>
      <c r="N134" s="6"/>
      <c r="O134" s="6" t="s">
        <v>605</v>
      </c>
      <c r="P134" s="6" t="s">
        <v>606</v>
      </c>
    </row>
    <row r="135" customFormat="false" ht="175.5" hidden="false" customHeight="true" outlineLevel="0" collapsed="false">
      <c r="A135" s="5" t="s">
        <v>607</v>
      </c>
      <c r="B135" s="6" t="s">
        <v>484</v>
      </c>
      <c r="C135" s="6" t="s">
        <v>555</v>
      </c>
      <c r="D135" s="6" t="s">
        <v>584</v>
      </c>
      <c r="E135" s="6"/>
      <c r="F135" s="7" t="s">
        <v>608</v>
      </c>
      <c r="G135" s="7" t="s">
        <v>24</v>
      </c>
      <c r="H135" s="5" t="n">
        <v>4</v>
      </c>
      <c r="I135" s="6"/>
      <c r="J135" s="5" t="n">
        <v>21</v>
      </c>
      <c r="K135" s="6" t="s">
        <v>609</v>
      </c>
      <c r="L135" s="6" t="s">
        <v>610</v>
      </c>
      <c r="M135" s="6"/>
      <c r="N135" s="6" t="s">
        <v>611</v>
      </c>
      <c r="O135" s="6" t="s">
        <v>612</v>
      </c>
      <c r="P135" s="6"/>
    </row>
    <row r="136" customFormat="false" ht="72.75" hidden="false" customHeight="true" outlineLevel="0" collapsed="false">
      <c r="A136" s="5" t="n">
        <v>187</v>
      </c>
      <c r="B136" s="6" t="s">
        <v>484</v>
      </c>
      <c r="C136" s="6" t="s">
        <v>555</v>
      </c>
      <c r="D136" s="6" t="s">
        <v>584</v>
      </c>
      <c r="E136" s="6"/>
      <c r="F136" s="7" t="s">
        <v>613</v>
      </c>
      <c r="G136" s="7" t="s">
        <v>31</v>
      </c>
      <c r="H136" s="5" t="n">
        <v>2</v>
      </c>
      <c r="I136" s="6"/>
      <c r="J136" s="5" t="n">
        <v>21</v>
      </c>
      <c r="K136" s="6" t="s">
        <v>32</v>
      </c>
      <c r="L136" s="6" t="s">
        <v>515</v>
      </c>
      <c r="M136" s="6" t="s">
        <v>614</v>
      </c>
      <c r="N136" s="6" t="s">
        <v>28</v>
      </c>
      <c r="O136" s="6" t="s">
        <v>615</v>
      </c>
      <c r="P136" s="6" t="s">
        <v>616</v>
      </c>
    </row>
    <row r="137" customFormat="false" ht="107.25" hidden="false" customHeight="true" outlineLevel="0" collapsed="false">
      <c r="A137" s="5" t="s">
        <v>617</v>
      </c>
      <c r="B137" s="6" t="s">
        <v>484</v>
      </c>
      <c r="C137" s="6" t="s">
        <v>555</v>
      </c>
      <c r="D137" s="6" t="s">
        <v>584</v>
      </c>
      <c r="E137" s="6"/>
      <c r="F137" s="7" t="s">
        <v>618</v>
      </c>
      <c r="G137" s="7" t="s">
        <v>24</v>
      </c>
      <c r="H137" s="5" t="n">
        <v>3</v>
      </c>
      <c r="I137" s="6"/>
      <c r="J137" s="5" t="n">
        <v>28</v>
      </c>
      <c r="K137" s="6" t="s">
        <v>619</v>
      </c>
      <c r="L137" s="6" t="s">
        <v>620</v>
      </c>
      <c r="M137" s="6" t="s">
        <v>621</v>
      </c>
      <c r="N137" s="6"/>
      <c r="O137" s="6" t="s">
        <v>599</v>
      </c>
      <c r="P137" s="6"/>
    </row>
    <row r="138" customFormat="false" ht="50.25" hidden="false" customHeight="true" outlineLevel="0" collapsed="false">
      <c r="A138" s="5" t="n">
        <v>275</v>
      </c>
      <c r="B138" s="6" t="s">
        <v>484</v>
      </c>
      <c r="C138" s="6" t="s">
        <v>555</v>
      </c>
      <c r="D138" s="6" t="s">
        <v>584</v>
      </c>
      <c r="E138" s="6"/>
      <c r="F138" s="7" t="s">
        <v>622</v>
      </c>
      <c r="G138" s="7" t="s">
        <v>31</v>
      </c>
      <c r="H138" s="5" t="n">
        <v>3</v>
      </c>
      <c r="I138" s="6"/>
      <c r="J138" s="5" t="n">
        <v>21</v>
      </c>
      <c r="K138" s="6" t="s">
        <v>37</v>
      </c>
      <c r="L138" s="6" t="s">
        <v>623</v>
      </c>
      <c r="M138" s="6" t="s">
        <v>624</v>
      </c>
      <c r="N138" s="6"/>
      <c r="O138" s="6" t="s">
        <v>625</v>
      </c>
      <c r="P138" s="6"/>
    </row>
    <row r="139" customFormat="false" ht="39" hidden="false" customHeight="true" outlineLevel="0" collapsed="false">
      <c r="A139" s="5" t="n">
        <v>276</v>
      </c>
      <c r="B139" s="6" t="s">
        <v>484</v>
      </c>
      <c r="C139" s="6" t="s">
        <v>555</v>
      </c>
      <c r="D139" s="6" t="s">
        <v>584</v>
      </c>
      <c r="E139" s="6"/>
      <c r="F139" s="7" t="s">
        <v>626</v>
      </c>
      <c r="G139" s="7" t="s">
        <v>31</v>
      </c>
      <c r="H139" s="5" t="n">
        <v>3</v>
      </c>
      <c r="I139" s="6"/>
      <c r="J139" s="5" t="n">
        <v>28</v>
      </c>
      <c r="K139" s="6" t="s">
        <v>43</v>
      </c>
      <c r="L139" s="6" t="s">
        <v>44</v>
      </c>
      <c r="M139" s="6" t="s">
        <v>627</v>
      </c>
      <c r="N139" s="6"/>
      <c r="O139" s="6" t="s">
        <v>628</v>
      </c>
      <c r="P139" s="6"/>
    </row>
    <row r="140" customFormat="false" ht="107.25" hidden="false" customHeight="true" outlineLevel="0" collapsed="false">
      <c r="A140" s="5" t="s">
        <v>629</v>
      </c>
      <c r="B140" s="6" t="s">
        <v>484</v>
      </c>
      <c r="C140" s="6" t="s">
        <v>555</v>
      </c>
      <c r="D140" s="6" t="s">
        <v>584</v>
      </c>
      <c r="E140" s="6"/>
      <c r="F140" s="7" t="s">
        <v>630</v>
      </c>
      <c r="G140" s="7" t="s">
        <v>24</v>
      </c>
      <c r="H140" s="5" t="n">
        <v>4</v>
      </c>
      <c r="I140" s="6"/>
      <c r="J140" s="5" t="n">
        <v>21</v>
      </c>
      <c r="K140" s="6" t="s">
        <v>631</v>
      </c>
      <c r="L140" s="6" t="s">
        <v>632</v>
      </c>
      <c r="M140" s="6" t="s">
        <v>633</v>
      </c>
      <c r="N140" s="6" t="s">
        <v>454</v>
      </c>
      <c r="O140" s="6" t="s">
        <v>634</v>
      </c>
      <c r="P140" s="6"/>
    </row>
    <row r="141" customFormat="false" ht="72.75" hidden="false" customHeight="true" outlineLevel="0" collapsed="false">
      <c r="A141" s="5" t="s">
        <v>635</v>
      </c>
      <c r="B141" s="6" t="s">
        <v>484</v>
      </c>
      <c r="C141" s="6" t="s">
        <v>636</v>
      </c>
      <c r="D141" s="6" t="s">
        <v>637</v>
      </c>
      <c r="E141" s="6"/>
      <c r="F141" s="7" t="s">
        <v>638</v>
      </c>
      <c r="G141" s="7" t="s">
        <v>24</v>
      </c>
      <c r="H141" s="5" t="n">
        <v>3</v>
      </c>
      <c r="I141" s="6"/>
      <c r="J141" s="5" t="n">
        <v>14</v>
      </c>
      <c r="K141" s="6" t="s">
        <v>639</v>
      </c>
      <c r="L141" s="6" t="s">
        <v>640</v>
      </c>
      <c r="M141" s="6"/>
      <c r="N141" s="6" t="s">
        <v>454</v>
      </c>
      <c r="O141" s="6" t="s">
        <v>641</v>
      </c>
      <c r="P141" s="6"/>
    </row>
    <row r="142" customFormat="false" ht="72.75" hidden="false" customHeight="true" outlineLevel="0" collapsed="false">
      <c r="A142" s="5" t="s">
        <v>642</v>
      </c>
      <c r="B142" s="6" t="s">
        <v>484</v>
      </c>
      <c r="C142" s="6" t="s">
        <v>636</v>
      </c>
      <c r="D142" s="6" t="s">
        <v>637</v>
      </c>
      <c r="E142" s="6"/>
      <c r="F142" s="7" t="s">
        <v>643</v>
      </c>
      <c r="G142" s="7" t="s">
        <v>24</v>
      </c>
      <c r="H142" s="5" t="n">
        <v>3</v>
      </c>
      <c r="I142" s="6"/>
      <c r="J142" s="5" t="n">
        <v>14</v>
      </c>
      <c r="K142" s="6" t="s">
        <v>644</v>
      </c>
      <c r="L142" s="6" t="s">
        <v>645</v>
      </c>
      <c r="M142" s="6" t="s">
        <v>646</v>
      </c>
      <c r="N142" s="6"/>
      <c r="O142" s="6" t="s">
        <v>647</v>
      </c>
      <c r="P142" s="6"/>
    </row>
    <row r="143" customFormat="false" ht="50.25" hidden="false" customHeight="true" outlineLevel="0" collapsed="false">
      <c r="A143" s="5" t="s">
        <v>648</v>
      </c>
      <c r="B143" s="6" t="s">
        <v>484</v>
      </c>
      <c r="C143" s="6" t="s">
        <v>636</v>
      </c>
      <c r="D143" s="6" t="s">
        <v>637</v>
      </c>
      <c r="E143" s="6"/>
      <c r="F143" s="7" t="s">
        <v>649</v>
      </c>
      <c r="G143" s="7" t="s">
        <v>24</v>
      </c>
      <c r="H143" s="5" t="n">
        <v>3</v>
      </c>
      <c r="I143" s="6"/>
      <c r="J143" s="5" t="n">
        <v>7</v>
      </c>
      <c r="K143" s="6" t="s">
        <v>639</v>
      </c>
      <c r="L143" s="6" t="s">
        <v>650</v>
      </c>
      <c r="M143" s="6" t="s">
        <v>651</v>
      </c>
      <c r="N143" s="6"/>
      <c r="O143" s="6" t="s">
        <v>641</v>
      </c>
      <c r="P143" s="6"/>
    </row>
    <row r="144" customFormat="false" ht="175.5" hidden="false" customHeight="true" outlineLevel="0" collapsed="false">
      <c r="A144" s="5" t="s">
        <v>652</v>
      </c>
      <c r="B144" s="6" t="s">
        <v>484</v>
      </c>
      <c r="C144" s="6" t="s">
        <v>636</v>
      </c>
      <c r="D144" s="6" t="s">
        <v>653</v>
      </c>
      <c r="E144" s="6"/>
      <c r="F144" s="7" t="s">
        <v>654</v>
      </c>
      <c r="G144" s="7" t="s">
        <v>24</v>
      </c>
      <c r="H144" s="5" t="n">
        <v>3</v>
      </c>
      <c r="I144" s="6"/>
      <c r="J144" s="5" t="n">
        <v>14</v>
      </c>
      <c r="K144" s="6" t="s">
        <v>655</v>
      </c>
      <c r="L144" s="6" t="s">
        <v>656</v>
      </c>
      <c r="M144" s="6" t="s">
        <v>646</v>
      </c>
      <c r="N144" s="6" t="s">
        <v>454</v>
      </c>
      <c r="O144" s="6" t="s">
        <v>657</v>
      </c>
      <c r="P144" s="6"/>
    </row>
    <row r="145" customFormat="false" ht="72.75" hidden="false" customHeight="true" outlineLevel="0" collapsed="false">
      <c r="A145" s="5" t="n">
        <v>129</v>
      </c>
      <c r="B145" s="6" t="s">
        <v>484</v>
      </c>
      <c r="C145" s="6" t="s">
        <v>658</v>
      </c>
      <c r="D145" s="6" t="s">
        <v>22</v>
      </c>
      <c r="E145" s="6"/>
      <c r="F145" s="7" t="s">
        <v>659</v>
      </c>
      <c r="G145" s="7" t="s">
        <v>31</v>
      </c>
      <c r="H145" s="5" t="n">
        <v>2</v>
      </c>
      <c r="I145" s="6"/>
      <c r="J145" s="5" t="n">
        <v>21</v>
      </c>
      <c r="K145" s="6" t="s">
        <v>228</v>
      </c>
      <c r="L145" s="6" t="s">
        <v>229</v>
      </c>
      <c r="M145" s="6" t="s">
        <v>241</v>
      </c>
      <c r="N145" s="6" t="s">
        <v>231</v>
      </c>
      <c r="O145" s="6" t="s">
        <v>660</v>
      </c>
      <c r="P145" s="6"/>
    </row>
    <row r="146" customFormat="false" ht="186.75" hidden="false" customHeight="true" outlineLevel="0" collapsed="false">
      <c r="A146" s="5" t="s">
        <v>661</v>
      </c>
      <c r="B146" s="6" t="s">
        <v>662</v>
      </c>
      <c r="C146" s="6" t="s">
        <v>663</v>
      </c>
      <c r="D146" s="6" t="s">
        <v>664</v>
      </c>
      <c r="E146" s="6"/>
      <c r="F146" s="7" t="s">
        <v>665</v>
      </c>
      <c r="G146" s="7" t="s">
        <v>24</v>
      </c>
      <c r="H146" s="5" t="n">
        <v>4</v>
      </c>
      <c r="I146" s="6"/>
      <c r="J146" s="5" t="n">
        <v>21</v>
      </c>
      <c r="K146" s="6" t="s">
        <v>666</v>
      </c>
      <c r="L146" s="6" t="s">
        <v>667</v>
      </c>
      <c r="M146" s="6" t="s">
        <v>602</v>
      </c>
      <c r="N146" s="6" t="s">
        <v>668</v>
      </c>
      <c r="O146" s="6" t="s">
        <v>669</v>
      </c>
      <c r="P146" s="6"/>
    </row>
    <row r="147" customFormat="false" ht="141.75" hidden="false" customHeight="true" outlineLevel="0" collapsed="false">
      <c r="A147" s="5" t="s">
        <v>670</v>
      </c>
      <c r="B147" s="6" t="s">
        <v>662</v>
      </c>
      <c r="C147" s="6" t="s">
        <v>671</v>
      </c>
      <c r="D147" s="6" t="s">
        <v>664</v>
      </c>
      <c r="E147" s="6"/>
      <c r="F147" s="7" t="s">
        <v>672</v>
      </c>
      <c r="G147" s="7" t="s">
        <v>24</v>
      </c>
      <c r="H147" s="5" t="n">
        <v>4</v>
      </c>
      <c r="I147" s="6"/>
      <c r="J147" s="5" t="n">
        <v>28</v>
      </c>
      <c r="K147" s="6" t="s">
        <v>673</v>
      </c>
      <c r="L147" s="6" t="s">
        <v>674</v>
      </c>
      <c r="M147" s="6" t="s">
        <v>675</v>
      </c>
      <c r="N147" s="6" t="s">
        <v>368</v>
      </c>
      <c r="O147" s="6" t="s">
        <v>676</v>
      </c>
      <c r="P147" s="6"/>
    </row>
    <row r="148" customFormat="false" ht="129.75" hidden="false" customHeight="true" outlineLevel="0" collapsed="false">
      <c r="A148" s="5" t="n">
        <v>260</v>
      </c>
      <c r="B148" s="6" t="s">
        <v>677</v>
      </c>
      <c r="C148" s="6" t="s">
        <v>677</v>
      </c>
      <c r="D148" s="6" t="s">
        <v>78</v>
      </c>
      <c r="E148" s="6"/>
      <c r="F148" s="7" t="s">
        <v>678</v>
      </c>
      <c r="G148" s="7" t="s">
        <v>31</v>
      </c>
      <c r="H148" s="5" t="n">
        <v>3</v>
      </c>
      <c r="I148" s="6"/>
      <c r="J148" s="5" t="n">
        <v>28</v>
      </c>
      <c r="K148" s="6" t="s">
        <v>679</v>
      </c>
      <c r="L148" s="6" t="s">
        <v>680</v>
      </c>
      <c r="M148" s="6" t="s">
        <v>681</v>
      </c>
      <c r="N148" s="6"/>
      <c r="O148" s="6" t="s">
        <v>682</v>
      </c>
      <c r="P148" s="6" t="s">
        <v>683</v>
      </c>
    </row>
    <row r="149" customFormat="false" ht="84.75" hidden="false" customHeight="true" outlineLevel="0" collapsed="false">
      <c r="A149" s="5" t="s">
        <v>684</v>
      </c>
      <c r="B149" s="6" t="s">
        <v>677</v>
      </c>
      <c r="C149" s="6" t="s">
        <v>677</v>
      </c>
      <c r="D149" s="6" t="s">
        <v>22</v>
      </c>
      <c r="E149" s="6"/>
      <c r="F149" s="7" t="s">
        <v>685</v>
      </c>
      <c r="G149" s="7" t="s">
        <v>24</v>
      </c>
      <c r="H149" s="5" t="n">
        <v>4</v>
      </c>
      <c r="I149" s="6"/>
      <c r="J149" s="5" t="n">
        <v>21</v>
      </c>
      <c r="K149" s="6" t="s">
        <v>686</v>
      </c>
      <c r="L149" s="6" t="s">
        <v>687</v>
      </c>
      <c r="M149" s="6"/>
      <c r="N149" s="6" t="s">
        <v>368</v>
      </c>
      <c r="O149" s="6" t="s">
        <v>544</v>
      </c>
      <c r="P149" s="6"/>
    </row>
    <row r="150" customFormat="false" ht="27.75" hidden="false" customHeight="true" outlineLevel="0" collapsed="false">
      <c r="A150" s="5" t="n">
        <v>261</v>
      </c>
      <c r="B150" s="6" t="s">
        <v>677</v>
      </c>
      <c r="C150" s="6" t="s">
        <v>677</v>
      </c>
      <c r="D150" s="6" t="s">
        <v>22</v>
      </c>
      <c r="E150" s="6"/>
      <c r="F150" s="7" t="s">
        <v>688</v>
      </c>
      <c r="G150" s="7" t="s">
        <v>50</v>
      </c>
      <c r="H150" s="5"/>
      <c r="I150" s="6"/>
      <c r="J150" s="5" t="n">
        <v>28</v>
      </c>
      <c r="K150" s="6" t="s">
        <v>51</v>
      </c>
      <c r="L150" s="6"/>
      <c r="M150" s="6"/>
      <c r="N150" s="6"/>
      <c r="O150" s="6" t="s">
        <v>689</v>
      </c>
      <c r="P150" s="6"/>
    </row>
    <row r="151" customFormat="false" ht="27.75" hidden="false" customHeight="true" outlineLevel="0" collapsed="false">
      <c r="A151" s="5" t="s">
        <v>690</v>
      </c>
      <c r="B151" s="6" t="s">
        <v>677</v>
      </c>
      <c r="C151" s="6" t="s">
        <v>677</v>
      </c>
      <c r="D151" s="6" t="s">
        <v>22</v>
      </c>
      <c r="E151" s="6"/>
      <c r="F151" s="7" t="s">
        <v>691</v>
      </c>
      <c r="G151" s="7" t="s">
        <v>24</v>
      </c>
      <c r="H151" s="5" t="n">
        <v>4</v>
      </c>
      <c r="I151" s="6"/>
      <c r="J151" s="5" t="n">
        <v>21</v>
      </c>
      <c r="K151" s="6" t="s">
        <v>692</v>
      </c>
      <c r="L151" s="6" t="s">
        <v>693</v>
      </c>
      <c r="M151" s="6" t="s">
        <v>694</v>
      </c>
      <c r="N151" s="6"/>
      <c r="O151" s="6" t="s">
        <v>695</v>
      </c>
      <c r="P151" s="6"/>
    </row>
    <row r="152" customFormat="false" ht="61.5" hidden="false" customHeight="true" outlineLevel="0" collapsed="false">
      <c r="A152" s="5" t="n">
        <v>314</v>
      </c>
      <c r="B152" s="6" t="s">
        <v>677</v>
      </c>
      <c r="C152" s="6" t="s">
        <v>677</v>
      </c>
      <c r="D152" s="6" t="s">
        <v>22</v>
      </c>
      <c r="E152" s="6"/>
      <c r="F152" s="7" t="s">
        <v>696</v>
      </c>
      <c r="G152" s="7" t="s">
        <v>50</v>
      </c>
      <c r="H152" s="5"/>
      <c r="I152" s="6"/>
      <c r="J152" s="5" t="n">
        <v>21</v>
      </c>
      <c r="K152" s="6" t="s">
        <v>51</v>
      </c>
      <c r="L152" s="6"/>
      <c r="M152" s="6" t="s">
        <v>61</v>
      </c>
      <c r="N152" s="6"/>
      <c r="O152" s="6" t="s">
        <v>697</v>
      </c>
      <c r="P152" s="6"/>
    </row>
    <row r="153" customFormat="false" ht="39" hidden="false" customHeight="true" outlineLevel="0" collapsed="false">
      <c r="A153" s="5" t="s">
        <v>698</v>
      </c>
      <c r="B153" s="6" t="s">
        <v>677</v>
      </c>
      <c r="C153" s="6" t="s">
        <v>677</v>
      </c>
      <c r="D153" s="6" t="s">
        <v>22</v>
      </c>
      <c r="E153" s="6"/>
      <c r="F153" s="7" t="s">
        <v>699</v>
      </c>
      <c r="G153" s="7" t="s">
        <v>24</v>
      </c>
      <c r="H153" s="5" t="n">
        <v>4</v>
      </c>
      <c r="I153" s="6"/>
      <c r="J153" s="5" t="n">
        <v>28</v>
      </c>
      <c r="K153" s="6" t="s">
        <v>700</v>
      </c>
      <c r="L153" s="6" t="s">
        <v>701</v>
      </c>
      <c r="M153" s="6" t="s">
        <v>681</v>
      </c>
      <c r="N153" s="6"/>
      <c r="O153" s="6" t="s">
        <v>702</v>
      </c>
      <c r="P153" s="6"/>
    </row>
    <row r="154" customFormat="false" ht="27.75" hidden="false" customHeight="true" outlineLevel="0" collapsed="false">
      <c r="A154" s="5" t="n">
        <v>202</v>
      </c>
      <c r="B154" s="6" t="s">
        <v>703</v>
      </c>
      <c r="C154" s="6" t="s">
        <v>704</v>
      </c>
      <c r="D154" s="6" t="s">
        <v>705</v>
      </c>
      <c r="E154" s="6"/>
      <c r="F154" s="7" t="s">
        <v>706</v>
      </c>
      <c r="G154" s="7" t="s">
        <v>50</v>
      </c>
      <c r="H154" s="5"/>
      <c r="I154" s="6"/>
      <c r="J154" s="5" t="n">
        <v>0</v>
      </c>
      <c r="K154" s="6" t="s">
        <v>51</v>
      </c>
      <c r="L154" s="6"/>
      <c r="M154" s="6"/>
      <c r="N154" s="6"/>
      <c r="O154" s="6" t="s">
        <v>707</v>
      </c>
      <c r="P154" s="6"/>
    </row>
    <row r="155" customFormat="false" ht="27.75" hidden="false" customHeight="true" outlineLevel="0" collapsed="false">
      <c r="A155" s="5" t="n">
        <v>203</v>
      </c>
      <c r="B155" s="6" t="s">
        <v>703</v>
      </c>
      <c r="C155" s="6" t="s">
        <v>704</v>
      </c>
      <c r="D155" s="6" t="s">
        <v>705</v>
      </c>
      <c r="E155" s="6"/>
      <c r="F155" s="7" t="s">
        <v>708</v>
      </c>
      <c r="G155" s="7" t="s">
        <v>50</v>
      </c>
      <c r="H155" s="5"/>
      <c r="I155" s="6"/>
      <c r="J155" s="5" t="n">
        <v>28</v>
      </c>
      <c r="K155" s="6" t="s">
        <v>51</v>
      </c>
      <c r="L155" s="6"/>
      <c r="M155" s="6"/>
      <c r="N155" s="6"/>
      <c r="O155" s="6" t="s">
        <v>709</v>
      </c>
      <c r="P155" s="6" t="s">
        <v>710</v>
      </c>
    </row>
    <row r="156" customFormat="false" ht="27.75" hidden="false" customHeight="true" outlineLevel="0" collapsed="false">
      <c r="A156" s="5" t="n">
        <v>206</v>
      </c>
      <c r="B156" s="6" t="s">
        <v>703</v>
      </c>
      <c r="C156" s="6" t="s">
        <v>704</v>
      </c>
      <c r="D156" s="6" t="s">
        <v>711</v>
      </c>
      <c r="E156" s="6"/>
      <c r="F156" s="7" t="s">
        <v>712</v>
      </c>
      <c r="G156" s="7" t="s">
        <v>50</v>
      </c>
      <c r="H156" s="5"/>
      <c r="I156" s="6"/>
      <c r="J156" s="5" t="n">
        <v>28</v>
      </c>
      <c r="K156" s="6" t="s">
        <v>51</v>
      </c>
      <c r="L156" s="6"/>
      <c r="M156" s="6" t="s">
        <v>203</v>
      </c>
      <c r="N156" s="6"/>
      <c r="O156" s="6" t="s">
        <v>713</v>
      </c>
      <c r="P156" s="6"/>
    </row>
    <row r="157" customFormat="false" ht="15.75" hidden="false" customHeight="true" outlineLevel="0" collapsed="false">
      <c r="A157" s="5" t="n">
        <v>207</v>
      </c>
      <c r="B157" s="6" t="s">
        <v>703</v>
      </c>
      <c r="C157" s="6" t="s">
        <v>704</v>
      </c>
      <c r="D157" s="6" t="s">
        <v>711</v>
      </c>
      <c r="E157" s="6"/>
      <c r="F157" s="7" t="s">
        <v>714</v>
      </c>
      <c r="G157" s="7" t="s">
        <v>50</v>
      </c>
      <c r="H157" s="5"/>
      <c r="I157" s="6"/>
      <c r="J157" s="5" t="n">
        <v>42</v>
      </c>
      <c r="K157" s="6" t="s">
        <v>51</v>
      </c>
      <c r="L157" s="6"/>
      <c r="M157" s="6"/>
      <c r="N157" s="6"/>
      <c r="O157" s="6" t="s">
        <v>715</v>
      </c>
      <c r="P157" s="6"/>
    </row>
    <row r="158" customFormat="false" ht="50.25" hidden="false" customHeight="true" outlineLevel="0" collapsed="false">
      <c r="A158" s="5" t="n">
        <v>208</v>
      </c>
      <c r="B158" s="6" t="s">
        <v>703</v>
      </c>
      <c r="C158" s="6" t="s">
        <v>704</v>
      </c>
      <c r="D158" s="6" t="s">
        <v>711</v>
      </c>
      <c r="E158" s="6"/>
      <c r="F158" s="7" t="s">
        <v>716</v>
      </c>
      <c r="G158" s="7" t="s">
        <v>31</v>
      </c>
      <c r="H158" s="5" t="n">
        <v>3</v>
      </c>
      <c r="I158" s="6"/>
      <c r="J158" s="5" t="n">
        <v>42</v>
      </c>
      <c r="K158" s="6" t="s">
        <v>717</v>
      </c>
      <c r="L158" s="6" t="s">
        <v>718</v>
      </c>
      <c r="M158" s="6" t="s">
        <v>203</v>
      </c>
      <c r="N158" s="6" t="s">
        <v>719</v>
      </c>
      <c r="O158" s="6" t="s">
        <v>720</v>
      </c>
      <c r="P158" s="6"/>
    </row>
    <row r="159" customFormat="false" ht="27.75" hidden="false" customHeight="true" outlineLevel="0" collapsed="false">
      <c r="A159" s="5" t="n">
        <v>205</v>
      </c>
      <c r="B159" s="6" t="s">
        <v>703</v>
      </c>
      <c r="C159" s="6" t="s">
        <v>704</v>
      </c>
      <c r="D159" s="6" t="s">
        <v>721</v>
      </c>
      <c r="E159" s="6"/>
      <c r="F159" s="7" t="s">
        <v>722</v>
      </c>
      <c r="G159" s="7" t="s">
        <v>31</v>
      </c>
      <c r="H159" s="5" t="n">
        <v>3</v>
      </c>
      <c r="I159" s="6"/>
      <c r="J159" s="5" t="n">
        <v>42</v>
      </c>
      <c r="K159" s="6" t="s">
        <v>723</v>
      </c>
      <c r="L159" s="6" t="s">
        <v>724</v>
      </c>
      <c r="M159" s="6" t="s">
        <v>725</v>
      </c>
      <c r="N159" s="6" t="s">
        <v>719</v>
      </c>
      <c r="O159" s="6" t="s">
        <v>726</v>
      </c>
      <c r="P159" s="6" t="s">
        <v>727</v>
      </c>
    </row>
    <row r="160" customFormat="false" ht="61.5" hidden="false" customHeight="true" outlineLevel="0" collapsed="false">
      <c r="A160" s="5" t="s">
        <v>728</v>
      </c>
      <c r="B160" s="6" t="s">
        <v>703</v>
      </c>
      <c r="C160" s="6" t="s">
        <v>704</v>
      </c>
      <c r="D160" s="6" t="s">
        <v>721</v>
      </c>
      <c r="E160" s="6"/>
      <c r="F160" s="7" t="s">
        <v>729</v>
      </c>
      <c r="G160" s="7" t="s">
        <v>24</v>
      </c>
      <c r="H160" s="5" t="n">
        <v>4</v>
      </c>
      <c r="I160" s="6"/>
      <c r="J160" s="5" t="n">
        <v>28</v>
      </c>
      <c r="K160" s="6" t="s">
        <v>730</v>
      </c>
      <c r="L160" s="6" t="s">
        <v>731</v>
      </c>
      <c r="M160" s="6"/>
      <c r="N160" s="6"/>
      <c r="O160" s="6" t="s">
        <v>732</v>
      </c>
      <c r="P160" s="6"/>
    </row>
    <row r="161" customFormat="false" ht="27.75" hidden="false" customHeight="true" outlineLevel="0" collapsed="false">
      <c r="A161" s="5" t="n">
        <v>204</v>
      </c>
      <c r="B161" s="6" t="s">
        <v>703</v>
      </c>
      <c r="C161" s="6" t="s">
        <v>704</v>
      </c>
      <c r="D161" s="6" t="s">
        <v>733</v>
      </c>
      <c r="E161" s="6"/>
      <c r="F161" s="7" t="s">
        <v>734</v>
      </c>
      <c r="G161" s="7" t="s">
        <v>50</v>
      </c>
      <c r="H161" s="5"/>
      <c r="I161" s="6"/>
      <c r="J161" s="5" t="n">
        <v>28</v>
      </c>
      <c r="K161" s="6" t="s">
        <v>51</v>
      </c>
      <c r="L161" s="6"/>
      <c r="M161" s="6"/>
      <c r="N161" s="6"/>
      <c r="O161" s="6" t="s">
        <v>735</v>
      </c>
      <c r="P161" s="6"/>
    </row>
    <row r="162" customFormat="false" ht="61.5" hidden="false" customHeight="true" outlineLevel="0" collapsed="false">
      <c r="A162" s="5" t="s">
        <v>736</v>
      </c>
      <c r="B162" s="6" t="s">
        <v>737</v>
      </c>
      <c r="C162" s="6" t="s">
        <v>738</v>
      </c>
      <c r="D162" s="6" t="s">
        <v>48</v>
      </c>
      <c r="E162" s="6"/>
      <c r="F162" s="7" t="s">
        <v>739</v>
      </c>
      <c r="G162" s="7" t="s">
        <v>24</v>
      </c>
      <c r="H162" s="5" t="n">
        <v>3</v>
      </c>
      <c r="I162" s="6"/>
      <c r="J162" s="5" t="n">
        <v>28</v>
      </c>
      <c r="K162" s="6" t="s">
        <v>740</v>
      </c>
      <c r="L162" s="6" t="s">
        <v>741</v>
      </c>
      <c r="M162" s="6"/>
      <c r="N162" s="6"/>
      <c r="O162" s="6" t="s">
        <v>742</v>
      </c>
      <c r="P162" s="6"/>
    </row>
    <row r="163" customFormat="false" ht="61.5" hidden="false" customHeight="true" outlineLevel="0" collapsed="false">
      <c r="A163" s="5" t="s">
        <v>743</v>
      </c>
      <c r="B163" s="6" t="s">
        <v>737</v>
      </c>
      <c r="C163" s="6" t="s">
        <v>738</v>
      </c>
      <c r="D163" s="6" t="s">
        <v>48</v>
      </c>
      <c r="E163" s="6"/>
      <c r="F163" s="7" t="s">
        <v>744</v>
      </c>
      <c r="G163" s="7" t="s">
        <v>24</v>
      </c>
      <c r="H163" s="5" t="n">
        <v>3</v>
      </c>
      <c r="I163" s="6"/>
      <c r="J163" s="5" t="n">
        <v>28</v>
      </c>
      <c r="K163" s="6" t="s">
        <v>745</v>
      </c>
      <c r="L163" s="6" t="s">
        <v>746</v>
      </c>
      <c r="M163" s="6"/>
      <c r="N163" s="6"/>
      <c r="O163" s="6" t="s">
        <v>747</v>
      </c>
      <c r="P163" s="6"/>
    </row>
    <row r="164" customFormat="false" ht="61.5" hidden="false" customHeight="true" outlineLevel="0" collapsed="false">
      <c r="A164" s="5" t="s">
        <v>748</v>
      </c>
      <c r="B164" s="6" t="s">
        <v>737</v>
      </c>
      <c r="C164" s="6" t="s">
        <v>749</v>
      </c>
      <c r="D164" s="6" t="s">
        <v>22</v>
      </c>
      <c r="E164" s="6"/>
      <c r="F164" s="7" t="s">
        <v>750</v>
      </c>
      <c r="G164" s="7" t="s">
        <v>24</v>
      </c>
      <c r="H164" s="5" t="n">
        <v>3</v>
      </c>
      <c r="I164" s="6"/>
      <c r="J164" s="5" t="n">
        <v>28</v>
      </c>
      <c r="K164" s="6" t="s">
        <v>751</v>
      </c>
      <c r="L164" s="6" t="s">
        <v>752</v>
      </c>
      <c r="M164" s="6"/>
      <c r="N164" s="6"/>
      <c r="O164" s="6" t="s">
        <v>753</v>
      </c>
      <c r="P164" s="6"/>
    </row>
    <row r="165" customFormat="false" ht="39" hidden="false" customHeight="true" outlineLevel="0" collapsed="false">
      <c r="A165" s="5" t="s">
        <v>754</v>
      </c>
      <c r="B165" s="6" t="s">
        <v>737</v>
      </c>
      <c r="C165" s="6" t="s">
        <v>755</v>
      </c>
      <c r="D165" s="6" t="s">
        <v>48</v>
      </c>
      <c r="E165" s="6"/>
      <c r="F165" s="7" t="s">
        <v>756</v>
      </c>
      <c r="G165" s="7" t="s">
        <v>24</v>
      </c>
      <c r="H165" s="5" t="n">
        <v>3</v>
      </c>
      <c r="I165" s="6"/>
      <c r="J165" s="5" t="n">
        <v>21</v>
      </c>
      <c r="K165" s="6" t="s">
        <v>757</v>
      </c>
      <c r="L165" s="6" t="s">
        <v>758</v>
      </c>
      <c r="M165" s="6"/>
      <c r="N165" s="6"/>
      <c r="O165" s="6" t="s">
        <v>759</v>
      </c>
      <c r="P165" s="6"/>
    </row>
    <row r="166" customFormat="false" ht="27.75" hidden="false" customHeight="true" outlineLevel="0" collapsed="false">
      <c r="A166" s="5" t="n">
        <v>15</v>
      </c>
      <c r="B166" s="6" t="s">
        <v>760</v>
      </c>
      <c r="C166" s="6" t="s">
        <v>761</v>
      </c>
      <c r="D166" s="6" t="s">
        <v>762</v>
      </c>
      <c r="E166" s="6"/>
      <c r="F166" s="7" t="s">
        <v>763</v>
      </c>
      <c r="G166" s="7" t="s">
        <v>31</v>
      </c>
      <c r="H166" s="5" t="n">
        <v>3</v>
      </c>
      <c r="I166" s="6"/>
      <c r="J166" s="5" t="n">
        <v>28</v>
      </c>
      <c r="K166" s="6" t="s">
        <v>87</v>
      </c>
      <c r="L166" s="6" t="s">
        <v>764</v>
      </c>
      <c r="M166" s="6" t="s">
        <v>75</v>
      </c>
      <c r="N166" s="6"/>
      <c r="O166" s="6" t="s">
        <v>765</v>
      </c>
      <c r="P166" s="6"/>
    </row>
    <row r="167" customFormat="false" ht="50.25" hidden="false" customHeight="true" outlineLevel="0" collapsed="false">
      <c r="A167" s="5" t="n">
        <v>16</v>
      </c>
      <c r="B167" s="6" t="s">
        <v>760</v>
      </c>
      <c r="C167" s="6" t="s">
        <v>761</v>
      </c>
      <c r="D167" s="6" t="s">
        <v>762</v>
      </c>
      <c r="E167" s="6"/>
      <c r="F167" s="7" t="s">
        <v>766</v>
      </c>
      <c r="G167" s="7" t="s">
        <v>31</v>
      </c>
      <c r="H167" s="5" t="n">
        <v>3</v>
      </c>
      <c r="I167" s="6"/>
      <c r="J167" s="5" t="n">
        <v>28</v>
      </c>
      <c r="K167" s="6" t="s">
        <v>87</v>
      </c>
      <c r="L167" s="6" t="s">
        <v>767</v>
      </c>
      <c r="M167" s="6" t="s">
        <v>75</v>
      </c>
      <c r="N167" s="6"/>
      <c r="O167" s="6" t="s">
        <v>768</v>
      </c>
      <c r="P167" s="6" t="s">
        <v>769</v>
      </c>
    </row>
    <row r="168" customFormat="false" ht="72.75" hidden="false" customHeight="true" outlineLevel="0" collapsed="false">
      <c r="A168" s="5" t="n">
        <v>156</v>
      </c>
      <c r="B168" s="6" t="s">
        <v>760</v>
      </c>
      <c r="C168" s="6" t="s">
        <v>761</v>
      </c>
      <c r="D168" s="6" t="s">
        <v>770</v>
      </c>
      <c r="E168" s="6"/>
      <c r="F168" s="7" t="s">
        <v>771</v>
      </c>
      <c r="G168" s="7" t="s">
        <v>31</v>
      </c>
      <c r="H168" s="5" t="n">
        <v>2</v>
      </c>
      <c r="I168" s="6"/>
      <c r="J168" s="5" t="n">
        <v>0</v>
      </c>
      <c r="K168" s="6" t="s">
        <v>452</v>
      </c>
      <c r="L168" s="6" t="s">
        <v>772</v>
      </c>
      <c r="M168" s="6" t="s">
        <v>27</v>
      </c>
      <c r="N168" s="6" t="s">
        <v>454</v>
      </c>
      <c r="O168" s="6" t="s">
        <v>773</v>
      </c>
      <c r="P168" s="6"/>
    </row>
    <row r="169" customFormat="false" ht="84.75" hidden="false" customHeight="true" outlineLevel="0" collapsed="false">
      <c r="A169" s="5" t="n">
        <v>158</v>
      </c>
      <c r="B169" s="6" t="s">
        <v>760</v>
      </c>
      <c r="C169" s="6" t="s">
        <v>761</v>
      </c>
      <c r="D169" s="6" t="s">
        <v>770</v>
      </c>
      <c r="E169" s="6"/>
      <c r="F169" s="7" t="s">
        <v>774</v>
      </c>
      <c r="G169" s="7" t="s">
        <v>31</v>
      </c>
      <c r="H169" s="5" t="n">
        <v>2</v>
      </c>
      <c r="I169" s="6"/>
      <c r="J169" s="5" t="n">
        <v>21</v>
      </c>
      <c r="K169" s="6" t="s">
        <v>775</v>
      </c>
      <c r="L169" s="6" t="s">
        <v>776</v>
      </c>
      <c r="M169" s="6" t="s">
        <v>777</v>
      </c>
      <c r="N169" s="6" t="s">
        <v>778</v>
      </c>
      <c r="O169" s="6" t="s">
        <v>779</v>
      </c>
      <c r="P169" s="6"/>
    </row>
    <row r="170" customFormat="false" ht="50.25" hidden="false" customHeight="true" outlineLevel="0" collapsed="false">
      <c r="A170" s="5" t="n">
        <v>26</v>
      </c>
      <c r="B170" s="6" t="s">
        <v>760</v>
      </c>
      <c r="C170" s="6" t="s">
        <v>761</v>
      </c>
      <c r="D170" s="6" t="s">
        <v>770</v>
      </c>
      <c r="E170" s="6"/>
      <c r="F170" s="7" t="s">
        <v>780</v>
      </c>
      <c r="G170" s="7" t="s">
        <v>31</v>
      </c>
      <c r="H170" s="5" t="n">
        <v>3</v>
      </c>
      <c r="I170" s="6"/>
      <c r="J170" s="5" t="n">
        <v>0</v>
      </c>
      <c r="K170" s="6" t="s">
        <v>781</v>
      </c>
      <c r="L170" s="6" t="s">
        <v>782</v>
      </c>
      <c r="M170" s="6" t="s">
        <v>783</v>
      </c>
      <c r="N170" s="6" t="s">
        <v>454</v>
      </c>
      <c r="O170" s="6" t="s">
        <v>784</v>
      </c>
      <c r="P170" s="6" t="s">
        <v>785</v>
      </c>
    </row>
    <row r="171" customFormat="false" ht="72.75" hidden="false" customHeight="true" outlineLevel="0" collapsed="false">
      <c r="A171" s="5" t="n">
        <v>21</v>
      </c>
      <c r="B171" s="6" t="s">
        <v>760</v>
      </c>
      <c r="C171" s="6" t="s">
        <v>761</v>
      </c>
      <c r="D171" s="6" t="s">
        <v>770</v>
      </c>
      <c r="E171" s="6"/>
      <c r="F171" s="7" t="s">
        <v>786</v>
      </c>
      <c r="G171" s="7" t="s">
        <v>31</v>
      </c>
      <c r="H171" s="5" t="n">
        <v>2</v>
      </c>
      <c r="I171" s="6"/>
      <c r="J171" s="5" t="n">
        <v>0</v>
      </c>
      <c r="K171" s="6" t="s">
        <v>787</v>
      </c>
      <c r="L171" s="6" t="s">
        <v>788</v>
      </c>
      <c r="M171" s="6" t="s">
        <v>789</v>
      </c>
      <c r="N171" s="6" t="s">
        <v>495</v>
      </c>
      <c r="O171" s="6" t="s">
        <v>790</v>
      </c>
      <c r="P171" s="6"/>
    </row>
    <row r="172" customFormat="false" ht="84.75" hidden="false" customHeight="true" outlineLevel="0" collapsed="false">
      <c r="A172" s="5" t="n">
        <v>155</v>
      </c>
      <c r="B172" s="6" t="s">
        <v>760</v>
      </c>
      <c r="C172" s="6" t="s">
        <v>761</v>
      </c>
      <c r="D172" s="6" t="s">
        <v>770</v>
      </c>
      <c r="E172" s="6"/>
      <c r="F172" s="7" t="s">
        <v>791</v>
      </c>
      <c r="G172" s="7" t="s">
        <v>31</v>
      </c>
      <c r="H172" s="5" t="n">
        <v>2</v>
      </c>
      <c r="I172" s="6"/>
      <c r="J172" s="5" t="n">
        <v>0</v>
      </c>
      <c r="K172" s="6" t="s">
        <v>792</v>
      </c>
      <c r="L172" s="6" t="s">
        <v>793</v>
      </c>
      <c r="M172" s="6" t="s">
        <v>794</v>
      </c>
      <c r="N172" s="6" t="s">
        <v>368</v>
      </c>
      <c r="O172" s="6" t="s">
        <v>795</v>
      </c>
      <c r="P172" s="6"/>
    </row>
    <row r="173" customFormat="false" ht="129.75" hidden="false" customHeight="true" outlineLevel="0" collapsed="false">
      <c r="A173" s="5" t="n">
        <v>157</v>
      </c>
      <c r="B173" s="6" t="s">
        <v>760</v>
      </c>
      <c r="C173" s="6" t="s">
        <v>761</v>
      </c>
      <c r="D173" s="6" t="s">
        <v>770</v>
      </c>
      <c r="E173" s="6"/>
      <c r="F173" s="7" t="s">
        <v>796</v>
      </c>
      <c r="G173" s="7" t="s">
        <v>31</v>
      </c>
      <c r="H173" s="5" t="n">
        <v>2</v>
      </c>
      <c r="I173" s="6"/>
      <c r="J173" s="5" t="n">
        <v>21</v>
      </c>
      <c r="K173" s="6" t="s">
        <v>797</v>
      </c>
      <c r="L173" s="6" t="s">
        <v>798</v>
      </c>
      <c r="M173" s="6" t="s">
        <v>799</v>
      </c>
      <c r="N173" s="6" t="s">
        <v>800</v>
      </c>
      <c r="O173" s="6" t="s">
        <v>801</v>
      </c>
      <c r="P173" s="6"/>
    </row>
    <row r="174" customFormat="false" ht="118.5" hidden="false" customHeight="true" outlineLevel="0" collapsed="false">
      <c r="A174" s="5" t="s">
        <v>802</v>
      </c>
      <c r="B174" s="6" t="s">
        <v>760</v>
      </c>
      <c r="C174" s="6" t="s">
        <v>761</v>
      </c>
      <c r="D174" s="6" t="s">
        <v>22</v>
      </c>
      <c r="E174" s="6" t="s">
        <v>803</v>
      </c>
      <c r="F174" s="7" t="s">
        <v>804</v>
      </c>
      <c r="G174" s="7" t="s">
        <v>24</v>
      </c>
      <c r="H174" s="5" t="n">
        <v>3</v>
      </c>
      <c r="I174" s="6"/>
      <c r="J174" s="5" t="n">
        <v>21</v>
      </c>
      <c r="K174" s="6" t="s">
        <v>805</v>
      </c>
      <c r="L174" s="6" t="s">
        <v>806</v>
      </c>
      <c r="M174" s="6" t="s">
        <v>807</v>
      </c>
      <c r="N174" s="6" t="s">
        <v>808</v>
      </c>
      <c r="O174" s="6" t="s">
        <v>809</v>
      </c>
      <c r="P174" s="6"/>
    </row>
    <row r="175" customFormat="false" ht="107.25" hidden="false" customHeight="true" outlineLevel="0" collapsed="false">
      <c r="A175" s="5" t="s">
        <v>810</v>
      </c>
      <c r="B175" s="6" t="s">
        <v>760</v>
      </c>
      <c r="C175" s="6" t="s">
        <v>761</v>
      </c>
      <c r="D175" s="6" t="s">
        <v>22</v>
      </c>
      <c r="E175" s="6" t="s">
        <v>803</v>
      </c>
      <c r="F175" s="7" t="s">
        <v>811</v>
      </c>
      <c r="G175" s="7" t="s">
        <v>24</v>
      </c>
      <c r="H175" s="5" t="n">
        <v>4</v>
      </c>
      <c r="I175" s="6"/>
      <c r="J175" s="5" t="n">
        <v>21</v>
      </c>
      <c r="K175" s="6" t="s">
        <v>812</v>
      </c>
      <c r="L175" s="6" t="s">
        <v>813</v>
      </c>
      <c r="M175" s="6" t="s">
        <v>407</v>
      </c>
      <c r="N175" s="6" t="s">
        <v>808</v>
      </c>
      <c r="O175" s="6" t="s">
        <v>814</v>
      </c>
      <c r="P175" s="6"/>
    </row>
    <row r="176" customFormat="false" ht="15.75" hidden="false" customHeight="true" outlineLevel="0" collapsed="false">
      <c r="A176" s="5" t="n">
        <v>161</v>
      </c>
      <c r="B176" s="6" t="s">
        <v>760</v>
      </c>
      <c r="C176" s="6" t="s">
        <v>761</v>
      </c>
      <c r="D176" s="6" t="s">
        <v>22</v>
      </c>
      <c r="E176" s="6" t="s">
        <v>815</v>
      </c>
      <c r="F176" s="7" t="s">
        <v>816</v>
      </c>
      <c r="G176" s="7" t="s">
        <v>50</v>
      </c>
      <c r="H176" s="5"/>
      <c r="I176" s="6"/>
      <c r="J176" s="5" t="n">
        <v>28</v>
      </c>
      <c r="K176" s="6" t="s">
        <v>51</v>
      </c>
      <c r="L176" s="6"/>
      <c r="M176" s="6"/>
      <c r="N176" s="6"/>
      <c r="O176" s="6" t="s">
        <v>817</v>
      </c>
      <c r="P176" s="6"/>
    </row>
    <row r="177" customFormat="false" ht="27.75" hidden="false" customHeight="true" outlineLevel="0" collapsed="false">
      <c r="A177" s="5" t="n">
        <v>10</v>
      </c>
      <c r="B177" s="6" t="s">
        <v>760</v>
      </c>
      <c r="C177" s="6" t="s">
        <v>761</v>
      </c>
      <c r="D177" s="6" t="s">
        <v>22</v>
      </c>
      <c r="E177" s="6" t="s">
        <v>815</v>
      </c>
      <c r="F177" s="7" t="s">
        <v>818</v>
      </c>
      <c r="G177" s="7" t="s">
        <v>31</v>
      </c>
      <c r="H177" s="5" t="n">
        <v>3</v>
      </c>
      <c r="I177" s="6"/>
      <c r="J177" s="5" t="n">
        <v>0</v>
      </c>
      <c r="K177" s="6" t="s">
        <v>87</v>
      </c>
      <c r="L177" s="6" t="s">
        <v>819</v>
      </c>
      <c r="M177" s="6"/>
      <c r="N177" s="6"/>
      <c r="O177" s="6" t="s">
        <v>820</v>
      </c>
      <c r="P177" s="6" t="s">
        <v>821</v>
      </c>
    </row>
    <row r="178" customFormat="false" ht="15.75" hidden="false" customHeight="true" outlineLevel="0" collapsed="false">
      <c r="A178" s="5" t="n">
        <v>162</v>
      </c>
      <c r="B178" s="6" t="s">
        <v>760</v>
      </c>
      <c r="C178" s="6" t="s">
        <v>761</v>
      </c>
      <c r="D178" s="6" t="s">
        <v>22</v>
      </c>
      <c r="E178" s="6" t="s">
        <v>815</v>
      </c>
      <c r="F178" s="7" t="s">
        <v>822</v>
      </c>
      <c r="G178" s="7" t="s">
        <v>50</v>
      </c>
      <c r="H178" s="5"/>
      <c r="I178" s="6"/>
      <c r="J178" s="5" t="n">
        <v>28</v>
      </c>
      <c r="K178" s="6" t="s">
        <v>51</v>
      </c>
      <c r="L178" s="6"/>
      <c r="M178" s="6"/>
      <c r="N178" s="6"/>
      <c r="O178" s="6" t="s">
        <v>823</v>
      </c>
      <c r="P178" s="6"/>
    </row>
    <row r="179" customFormat="false" ht="61.5" hidden="false" customHeight="true" outlineLevel="0" collapsed="false">
      <c r="A179" s="5" t="s">
        <v>824</v>
      </c>
      <c r="B179" s="6" t="s">
        <v>760</v>
      </c>
      <c r="C179" s="6" t="s">
        <v>761</v>
      </c>
      <c r="D179" s="6" t="s">
        <v>22</v>
      </c>
      <c r="E179" s="6" t="s">
        <v>825</v>
      </c>
      <c r="F179" s="7" t="s">
        <v>826</v>
      </c>
      <c r="G179" s="7" t="s">
        <v>24</v>
      </c>
      <c r="H179" s="5" t="n">
        <v>4</v>
      </c>
      <c r="I179" s="6"/>
      <c r="J179" s="5" t="n">
        <v>28</v>
      </c>
      <c r="K179" s="6" t="s">
        <v>827</v>
      </c>
      <c r="L179" s="6" t="s">
        <v>828</v>
      </c>
      <c r="M179" s="6"/>
      <c r="N179" s="6"/>
      <c r="O179" s="6" t="s">
        <v>829</v>
      </c>
      <c r="P179" s="6"/>
    </row>
    <row r="180" customFormat="false" ht="61.5" hidden="false" customHeight="true" outlineLevel="0" collapsed="false">
      <c r="A180" s="5" t="s">
        <v>830</v>
      </c>
      <c r="B180" s="6" t="s">
        <v>760</v>
      </c>
      <c r="C180" s="6" t="s">
        <v>761</v>
      </c>
      <c r="D180" s="6" t="s">
        <v>22</v>
      </c>
      <c r="E180" s="6" t="s">
        <v>825</v>
      </c>
      <c r="F180" s="7" t="s">
        <v>831</v>
      </c>
      <c r="G180" s="7" t="s">
        <v>24</v>
      </c>
      <c r="H180" s="5" t="n">
        <v>4</v>
      </c>
      <c r="I180" s="6"/>
      <c r="J180" s="5" t="n">
        <v>28</v>
      </c>
      <c r="K180" s="6" t="s">
        <v>832</v>
      </c>
      <c r="L180" s="6" t="s">
        <v>833</v>
      </c>
      <c r="M180" s="6"/>
      <c r="N180" s="6"/>
      <c r="O180" s="6" t="s">
        <v>834</v>
      </c>
      <c r="P180" s="6"/>
    </row>
    <row r="181" customFormat="false" ht="107.25" hidden="false" customHeight="true" outlineLevel="0" collapsed="false">
      <c r="A181" s="5" t="s">
        <v>835</v>
      </c>
      <c r="B181" s="6" t="s">
        <v>760</v>
      </c>
      <c r="C181" s="6" t="s">
        <v>761</v>
      </c>
      <c r="D181" s="6" t="s">
        <v>22</v>
      </c>
      <c r="E181" s="6" t="s">
        <v>825</v>
      </c>
      <c r="F181" s="7" t="s">
        <v>836</v>
      </c>
      <c r="G181" s="7" t="s">
        <v>24</v>
      </c>
      <c r="H181" s="5" t="n">
        <v>4</v>
      </c>
      <c r="I181" s="6"/>
      <c r="J181" s="5" t="n">
        <v>21</v>
      </c>
      <c r="K181" s="6" t="s">
        <v>837</v>
      </c>
      <c r="L181" s="6" t="s">
        <v>838</v>
      </c>
      <c r="M181" s="6" t="s">
        <v>432</v>
      </c>
      <c r="N181" s="6" t="s">
        <v>28</v>
      </c>
      <c r="O181" s="6" t="s">
        <v>839</v>
      </c>
      <c r="P181" s="6"/>
    </row>
    <row r="182" customFormat="false" ht="61.5" hidden="false" customHeight="true" outlineLevel="0" collapsed="false">
      <c r="A182" s="5" t="s">
        <v>840</v>
      </c>
      <c r="B182" s="6" t="s">
        <v>760</v>
      </c>
      <c r="C182" s="6" t="s">
        <v>761</v>
      </c>
      <c r="D182" s="6" t="s">
        <v>22</v>
      </c>
      <c r="E182" s="6" t="s">
        <v>825</v>
      </c>
      <c r="F182" s="7" t="s">
        <v>841</v>
      </c>
      <c r="G182" s="7" t="s">
        <v>24</v>
      </c>
      <c r="H182" s="5" t="n">
        <v>4</v>
      </c>
      <c r="I182" s="6"/>
      <c r="J182" s="5" t="n">
        <v>28</v>
      </c>
      <c r="K182" s="6" t="s">
        <v>842</v>
      </c>
      <c r="L182" s="6" t="s">
        <v>843</v>
      </c>
      <c r="M182" s="6"/>
      <c r="N182" s="6"/>
      <c r="O182" s="6" t="s">
        <v>844</v>
      </c>
      <c r="P182" s="6"/>
    </row>
    <row r="183" customFormat="false" ht="84.75" hidden="false" customHeight="true" outlineLevel="0" collapsed="false">
      <c r="A183" s="5" t="s">
        <v>845</v>
      </c>
      <c r="B183" s="6" t="s">
        <v>760</v>
      </c>
      <c r="C183" s="6" t="s">
        <v>761</v>
      </c>
      <c r="D183" s="6" t="s">
        <v>22</v>
      </c>
      <c r="E183" s="6" t="s">
        <v>846</v>
      </c>
      <c r="F183" s="7" t="s">
        <v>847</v>
      </c>
      <c r="G183" s="7" t="s">
        <v>24</v>
      </c>
      <c r="H183" s="5" t="n">
        <v>2</v>
      </c>
      <c r="I183" s="6"/>
      <c r="J183" s="5" t="n">
        <v>28</v>
      </c>
      <c r="K183" s="6" t="s">
        <v>848</v>
      </c>
      <c r="L183" s="6" t="s">
        <v>849</v>
      </c>
      <c r="M183" s="6"/>
      <c r="N183" s="6"/>
      <c r="O183" s="6" t="s">
        <v>850</v>
      </c>
      <c r="P183" s="6"/>
    </row>
    <row r="184" customFormat="false" ht="267" hidden="false" customHeight="true" outlineLevel="0" collapsed="false">
      <c r="A184" s="5" t="s">
        <v>851</v>
      </c>
      <c r="B184" s="6" t="s">
        <v>760</v>
      </c>
      <c r="C184" s="6" t="s">
        <v>761</v>
      </c>
      <c r="D184" s="6" t="s">
        <v>22</v>
      </c>
      <c r="E184" s="6" t="s">
        <v>846</v>
      </c>
      <c r="F184" s="7" t="s">
        <v>852</v>
      </c>
      <c r="G184" s="7" t="s">
        <v>24</v>
      </c>
      <c r="H184" s="5" t="n">
        <v>4</v>
      </c>
      <c r="I184" s="6"/>
      <c r="J184" s="5" t="n">
        <v>28</v>
      </c>
      <c r="K184" s="6" t="s">
        <v>853</v>
      </c>
      <c r="L184" s="6" t="s">
        <v>854</v>
      </c>
      <c r="M184" s="6" t="s">
        <v>725</v>
      </c>
      <c r="N184" s="6"/>
      <c r="O184" s="6" t="s">
        <v>855</v>
      </c>
      <c r="P184" s="6"/>
    </row>
    <row r="185" customFormat="false" ht="15.75" hidden="false" customHeight="true" outlineLevel="0" collapsed="false">
      <c r="A185" s="5" t="n">
        <v>12</v>
      </c>
      <c r="B185" s="6" t="s">
        <v>760</v>
      </c>
      <c r="C185" s="6" t="s">
        <v>761</v>
      </c>
      <c r="D185" s="6" t="s">
        <v>22</v>
      </c>
      <c r="E185" s="6" t="s">
        <v>846</v>
      </c>
      <c r="F185" s="7" t="s">
        <v>856</v>
      </c>
      <c r="G185" s="7" t="s">
        <v>31</v>
      </c>
      <c r="H185" s="5" t="n">
        <v>3</v>
      </c>
      <c r="I185" s="6"/>
      <c r="J185" s="5" t="n">
        <v>0</v>
      </c>
      <c r="K185" s="6" t="s">
        <v>87</v>
      </c>
      <c r="L185" s="6" t="s">
        <v>857</v>
      </c>
      <c r="M185" s="6"/>
      <c r="N185" s="6"/>
      <c r="O185" s="6" t="s">
        <v>858</v>
      </c>
      <c r="P185" s="6"/>
    </row>
    <row r="186" customFormat="false" ht="72.75" hidden="false" customHeight="true" outlineLevel="0" collapsed="false">
      <c r="A186" s="5" t="s">
        <v>859</v>
      </c>
      <c r="B186" s="6" t="s">
        <v>760</v>
      </c>
      <c r="C186" s="6" t="s">
        <v>761</v>
      </c>
      <c r="D186" s="6" t="s">
        <v>22</v>
      </c>
      <c r="E186" s="6" t="s">
        <v>846</v>
      </c>
      <c r="F186" s="7" t="s">
        <v>860</v>
      </c>
      <c r="G186" s="7" t="s">
        <v>24</v>
      </c>
      <c r="H186" s="5" t="n">
        <v>2</v>
      </c>
      <c r="I186" s="6"/>
      <c r="J186" s="5" t="n">
        <v>28</v>
      </c>
      <c r="K186" s="6" t="s">
        <v>861</v>
      </c>
      <c r="L186" s="6" t="s">
        <v>862</v>
      </c>
      <c r="M186" s="6"/>
      <c r="N186" s="6"/>
      <c r="O186" s="6" t="s">
        <v>863</v>
      </c>
      <c r="P186" s="6"/>
    </row>
    <row r="187" customFormat="false" ht="141.75" hidden="false" customHeight="true" outlineLevel="0" collapsed="false">
      <c r="A187" s="5" t="s">
        <v>864</v>
      </c>
      <c r="B187" s="6" t="s">
        <v>760</v>
      </c>
      <c r="C187" s="6" t="s">
        <v>761</v>
      </c>
      <c r="D187" s="6" t="s">
        <v>22</v>
      </c>
      <c r="E187" s="6" t="s">
        <v>846</v>
      </c>
      <c r="F187" s="7" t="s">
        <v>865</v>
      </c>
      <c r="G187" s="7" t="s">
        <v>24</v>
      </c>
      <c r="H187" s="5" t="n">
        <v>3</v>
      </c>
      <c r="I187" s="6"/>
      <c r="J187" s="5" t="n">
        <v>21</v>
      </c>
      <c r="K187" s="6" t="s">
        <v>866</v>
      </c>
      <c r="L187" s="6" t="s">
        <v>867</v>
      </c>
      <c r="M187" s="6" t="s">
        <v>777</v>
      </c>
      <c r="N187" s="6" t="s">
        <v>778</v>
      </c>
      <c r="O187" s="6" t="s">
        <v>868</v>
      </c>
      <c r="P187" s="6"/>
    </row>
    <row r="188" customFormat="false" ht="50.25" hidden="false" customHeight="true" outlineLevel="0" collapsed="false">
      <c r="A188" s="5" t="n">
        <v>9</v>
      </c>
      <c r="B188" s="6" t="s">
        <v>760</v>
      </c>
      <c r="C188" s="6" t="s">
        <v>761</v>
      </c>
      <c r="D188" s="6" t="s">
        <v>22</v>
      </c>
      <c r="E188" s="6" t="s">
        <v>556</v>
      </c>
      <c r="F188" s="7" t="s">
        <v>869</v>
      </c>
      <c r="G188" s="7" t="s">
        <v>31</v>
      </c>
      <c r="H188" s="5" t="n">
        <v>3</v>
      </c>
      <c r="I188" s="6"/>
      <c r="J188" s="5" t="n">
        <v>21</v>
      </c>
      <c r="K188" s="6" t="s">
        <v>870</v>
      </c>
      <c r="L188" s="6" t="s">
        <v>871</v>
      </c>
      <c r="M188" s="6" t="s">
        <v>872</v>
      </c>
      <c r="N188" s="6" t="s">
        <v>873</v>
      </c>
      <c r="O188" s="6" t="s">
        <v>874</v>
      </c>
      <c r="P188" s="6"/>
    </row>
    <row r="189" customFormat="false" ht="39" hidden="false" customHeight="true" outlineLevel="0" collapsed="false">
      <c r="A189" s="5" t="n">
        <v>13</v>
      </c>
      <c r="B189" s="6" t="s">
        <v>760</v>
      </c>
      <c r="C189" s="6" t="s">
        <v>761</v>
      </c>
      <c r="D189" s="6" t="s">
        <v>22</v>
      </c>
      <c r="E189" s="6" t="s">
        <v>556</v>
      </c>
      <c r="F189" s="7" t="s">
        <v>875</v>
      </c>
      <c r="G189" s="7" t="s">
        <v>31</v>
      </c>
      <c r="H189" s="5" t="n">
        <v>3</v>
      </c>
      <c r="I189" s="6"/>
      <c r="J189" s="5" t="n">
        <v>21</v>
      </c>
      <c r="K189" s="6" t="s">
        <v>870</v>
      </c>
      <c r="L189" s="6" t="s">
        <v>876</v>
      </c>
      <c r="M189" s="6" t="s">
        <v>877</v>
      </c>
      <c r="N189" s="6" t="s">
        <v>873</v>
      </c>
      <c r="O189" s="6" t="s">
        <v>878</v>
      </c>
      <c r="P189" s="6" t="s">
        <v>879</v>
      </c>
    </row>
    <row r="190" customFormat="false" ht="61.5" hidden="false" customHeight="true" outlineLevel="0" collapsed="false">
      <c r="A190" s="5" t="s">
        <v>880</v>
      </c>
      <c r="B190" s="6" t="s">
        <v>760</v>
      </c>
      <c r="C190" s="6" t="s">
        <v>761</v>
      </c>
      <c r="D190" s="6" t="s">
        <v>22</v>
      </c>
      <c r="E190" s="6" t="s">
        <v>881</v>
      </c>
      <c r="F190" s="7" t="s">
        <v>882</v>
      </c>
      <c r="G190" s="7" t="s">
        <v>24</v>
      </c>
      <c r="H190" s="5" t="n">
        <v>4</v>
      </c>
      <c r="I190" s="6"/>
      <c r="J190" s="5" t="n">
        <v>28</v>
      </c>
      <c r="K190" s="6" t="s">
        <v>883</v>
      </c>
      <c r="L190" s="6" t="s">
        <v>884</v>
      </c>
      <c r="M190" s="6"/>
      <c r="N190" s="6"/>
      <c r="O190" s="6" t="s">
        <v>885</v>
      </c>
      <c r="P190" s="6"/>
    </row>
    <row r="191" customFormat="false" ht="27.75" hidden="false" customHeight="true" outlineLevel="0" collapsed="false">
      <c r="A191" s="5" t="n">
        <v>164</v>
      </c>
      <c r="B191" s="6" t="s">
        <v>760</v>
      </c>
      <c r="C191" s="6" t="s">
        <v>761</v>
      </c>
      <c r="D191" s="6" t="s">
        <v>22</v>
      </c>
      <c r="E191" s="6" t="s">
        <v>881</v>
      </c>
      <c r="F191" s="7" t="s">
        <v>886</v>
      </c>
      <c r="G191" s="7" t="s">
        <v>31</v>
      </c>
      <c r="H191" s="5" t="n">
        <v>3</v>
      </c>
      <c r="I191" s="6"/>
      <c r="J191" s="5" t="n">
        <v>28</v>
      </c>
      <c r="K191" s="6" t="s">
        <v>781</v>
      </c>
      <c r="L191" s="6" t="s">
        <v>887</v>
      </c>
      <c r="M191" s="6"/>
      <c r="N191" s="6"/>
      <c r="O191" s="6" t="s">
        <v>888</v>
      </c>
      <c r="P191" s="6" t="s">
        <v>889</v>
      </c>
    </row>
    <row r="192" customFormat="false" ht="61.5" hidden="false" customHeight="true" outlineLevel="0" collapsed="false">
      <c r="A192" s="5" t="s">
        <v>890</v>
      </c>
      <c r="B192" s="6" t="s">
        <v>760</v>
      </c>
      <c r="C192" s="6" t="s">
        <v>761</v>
      </c>
      <c r="D192" s="6" t="s">
        <v>22</v>
      </c>
      <c r="E192" s="6" t="s">
        <v>881</v>
      </c>
      <c r="F192" s="7" t="s">
        <v>891</v>
      </c>
      <c r="G192" s="7" t="s">
        <v>24</v>
      </c>
      <c r="H192" s="5" t="n">
        <v>4</v>
      </c>
      <c r="I192" s="6"/>
      <c r="J192" s="5" t="n">
        <v>28</v>
      </c>
      <c r="K192" s="6" t="s">
        <v>892</v>
      </c>
      <c r="L192" s="6" t="s">
        <v>893</v>
      </c>
      <c r="M192" s="6"/>
      <c r="N192" s="6"/>
      <c r="O192" s="6" t="s">
        <v>894</v>
      </c>
      <c r="P192" s="6"/>
    </row>
    <row r="193" customFormat="false" ht="15.75" hidden="false" customHeight="true" outlineLevel="0" collapsed="false">
      <c r="A193" s="5" t="n">
        <v>163</v>
      </c>
      <c r="B193" s="6" t="s">
        <v>760</v>
      </c>
      <c r="C193" s="6" t="s">
        <v>761</v>
      </c>
      <c r="D193" s="6" t="s">
        <v>22</v>
      </c>
      <c r="E193" s="6" t="s">
        <v>881</v>
      </c>
      <c r="F193" s="7" t="s">
        <v>895</v>
      </c>
      <c r="G193" s="7" t="s">
        <v>50</v>
      </c>
      <c r="H193" s="5"/>
      <c r="I193" s="6"/>
      <c r="J193" s="5" t="n">
        <v>28</v>
      </c>
      <c r="K193" s="6" t="s">
        <v>51</v>
      </c>
      <c r="L193" s="6"/>
      <c r="M193" s="6"/>
      <c r="N193" s="6"/>
      <c r="O193" s="6" t="s">
        <v>896</v>
      </c>
      <c r="P193" s="6"/>
    </row>
    <row r="194" customFormat="false" ht="72.75" hidden="false" customHeight="true" outlineLevel="0" collapsed="false">
      <c r="A194" s="5" t="n">
        <v>17</v>
      </c>
      <c r="B194" s="6" t="s">
        <v>760</v>
      </c>
      <c r="C194" s="6" t="s">
        <v>761</v>
      </c>
      <c r="D194" s="6" t="s">
        <v>22</v>
      </c>
      <c r="E194" s="6" t="s">
        <v>897</v>
      </c>
      <c r="F194" s="7" t="s">
        <v>898</v>
      </c>
      <c r="G194" s="7" t="s">
        <v>31</v>
      </c>
      <c r="H194" s="5" t="n">
        <v>2</v>
      </c>
      <c r="I194" s="6"/>
      <c r="J194" s="5" t="n">
        <v>21</v>
      </c>
      <c r="K194" s="6" t="s">
        <v>344</v>
      </c>
      <c r="L194" s="6" t="s">
        <v>899</v>
      </c>
      <c r="M194" s="6" t="s">
        <v>900</v>
      </c>
      <c r="N194" s="6" t="s">
        <v>347</v>
      </c>
      <c r="O194" s="6" t="s">
        <v>901</v>
      </c>
      <c r="P194" s="6"/>
    </row>
    <row r="195" customFormat="false" ht="27.75" hidden="false" customHeight="true" outlineLevel="0" collapsed="false">
      <c r="A195" s="5" t="n">
        <v>300</v>
      </c>
      <c r="B195" s="6" t="s">
        <v>760</v>
      </c>
      <c r="C195" s="6" t="s">
        <v>761</v>
      </c>
      <c r="D195" s="6" t="s">
        <v>22</v>
      </c>
      <c r="E195" s="6" t="s">
        <v>897</v>
      </c>
      <c r="F195" s="7" t="s">
        <v>902</v>
      </c>
      <c r="G195" s="7" t="s">
        <v>395</v>
      </c>
      <c r="H195" s="5" t="n">
        <v>1</v>
      </c>
      <c r="I195" s="6"/>
      <c r="J195" s="5" t="n">
        <v>21</v>
      </c>
      <c r="K195" s="6" t="s">
        <v>903</v>
      </c>
      <c r="L195" s="6" t="s">
        <v>904</v>
      </c>
      <c r="M195" s="6"/>
      <c r="N195" s="6"/>
      <c r="O195" s="6" t="s">
        <v>905</v>
      </c>
      <c r="P195" s="6"/>
    </row>
    <row r="196" customFormat="false" ht="84.75" hidden="false" customHeight="true" outlineLevel="0" collapsed="false">
      <c r="A196" s="5" t="n">
        <v>160</v>
      </c>
      <c r="B196" s="6" t="s">
        <v>760</v>
      </c>
      <c r="C196" s="6" t="s">
        <v>761</v>
      </c>
      <c r="D196" s="6" t="s">
        <v>22</v>
      </c>
      <c r="E196" s="6" t="s">
        <v>897</v>
      </c>
      <c r="F196" s="7" t="s">
        <v>906</v>
      </c>
      <c r="G196" s="7" t="s">
        <v>31</v>
      </c>
      <c r="H196" s="5" t="n">
        <v>2</v>
      </c>
      <c r="I196" s="6"/>
      <c r="J196" s="5" t="n">
        <v>21</v>
      </c>
      <c r="K196" s="6" t="s">
        <v>907</v>
      </c>
      <c r="L196" s="6" t="s">
        <v>908</v>
      </c>
      <c r="M196" s="6" t="s">
        <v>553</v>
      </c>
      <c r="N196" s="6" t="s">
        <v>28</v>
      </c>
      <c r="O196" s="6" t="s">
        <v>909</v>
      </c>
      <c r="P196" s="6" t="s">
        <v>910</v>
      </c>
    </row>
    <row r="197" customFormat="false" ht="118.5" hidden="false" customHeight="true" outlineLevel="0" collapsed="false">
      <c r="A197" s="5" t="s">
        <v>911</v>
      </c>
      <c r="B197" s="6" t="s">
        <v>760</v>
      </c>
      <c r="C197" s="6" t="s">
        <v>761</v>
      </c>
      <c r="D197" s="6" t="s">
        <v>22</v>
      </c>
      <c r="E197" s="6" t="s">
        <v>897</v>
      </c>
      <c r="F197" s="7" t="s">
        <v>912</v>
      </c>
      <c r="G197" s="7" t="s">
        <v>24</v>
      </c>
      <c r="H197" s="5" t="n">
        <v>3</v>
      </c>
      <c r="I197" s="6"/>
      <c r="J197" s="5" t="n">
        <v>21</v>
      </c>
      <c r="K197" s="6" t="s">
        <v>913</v>
      </c>
      <c r="L197" s="6" t="s">
        <v>914</v>
      </c>
      <c r="M197" s="6" t="s">
        <v>27</v>
      </c>
      <c r="N197" s="6" t="s">
        <v>28</v>
      </c>
      <c r="O197" s="6" t="s">
        <v>915</v>
      </c>
      <c r="P197" s="6"/>
    </row>
    <row r="198" customFormat="false" ht="141.75" hidden="false" customHeight="true" outlineLevel="0" collapsed="false">
      <c r="A198" s="5" t="s">
        <v>916</v>
      </c>
      <c r="B198" s="6" t="s">
        <v>760</v>
      </c>
      <c r="C198" s="6" t="s">
        <v>761</v>
      </c>
      <c r="D198" s="6" t="s">
        <v>22</v>
      </c>
      <c r="E198" s="6" t="s">
        <v>897</v>
      </c>
      <c r="F198" s="7" t="s">
        <v>917</v>
      </c>
      <c r="G198" s="7" t="s">
        <v>24</v>
      </c>
      <c r="H198" s="5" t="n">
        <v>3</v>
      </c>
      <c r="I198" s="6"/>
      <c r="J198" s="5" t="n">
        <v>28</v>
      </c>
      <c r="K198" s="6" t="s">
        <v>918</v>
      </c>
      <c r="L198" s="6" t="s">
        <v>919</v>
      </c>
      <c r="M198" s="6" t="s">
        <v>27</v>
      </c>
      <c r="N198" s="6" t="s">
        <v>28</v>
      </c>
      <c r="O198" s="6" t="s">
        <v>920</v>
      </c>
      <c r="P198" s="6"/>
    </row>
    <row r="199" customFormat="false" ht="164.25" hidden="false" customHeight="true" outlineLevel="0" collapsed="false">
      <c r="A199" s="5" t="s">
        <v>921</v>
      </c>
      <c r="B199" s="6" t="s">
        <v>760</v>
      </c>
      <c r="C199" s="6" t="s">
        <v>761</v>
      </c>
      <c r="D199" s="6" t="s">
        <v>22</v>
      </c>
      <c r="E199" s="6" t="s">
        <v>897</v>
      </c>
      <c r="F199" s="7" t="s">
        <v>922</v>
      </c>
      <c r="G199" s="7" t="s">
        <v>24</v>
      </c>
      <c r="H199" s="5" t="n">
        <v>4</v>
      </c>
      <c r="I199" s="6"/>
      <c r="J199" s="5" t="n">
        <v>21</v>
      </c>
      <c r="K199" s="6" t="s">
        <v>923</v>
      </c>
      <c r="L199" s="6" t="s">
        <v>924</v>
      </c>
      <c r="M199" s="6" t="s">
        <v>925</v>
      </c>
      <c r="N199" s="6" t="s">
        <v>778</v>
      </c>
      <c r="O199" s="6" t="s">
        <v>926</v>
      </c>
      <c r="P199" s="6"/>
    </row>
    <row r="200" customFormat="false" ht="141.75" hidden="false" customHeight="true" outlineLevel="0" collapsed="false">
      <c r="A200" s="5" t="s">
        <v>927</v>
      </c>
      <c r="B200" s="6" t="s">
        <v>760</v>
      </c>
      <c r="C200" s="6" t="s">
        <v>761</v>
      </c>
      <c r="D200" s="6" t="s">
        <v>22</v>
      </c>
      <c r="E200" s="6" t="s">
        <v>897</v>
      </c>
      <c r="F200" s="7" t="s">
        <v>928</v>
      </c>
      <c r="G200" s="7" t="s">
        <v>24</v>
      </c>
      <c r="H200" s="5" t="n">
        <v>3</v>
      </c>
      <c r="I200" s="6"/>
      <c r="J200" s="5" t="n">
        <v>21</v>
      </c>
      <c r="K200" s="6" t="s">
        <v>929</v>
      </c>
      <c r="L200" s="6" t="s">
        <v>930</v>
      </c>
      <c r="M200" s="6" t="s">
        <v>931</v>
      </c>
      <c r="N200" s="6" t="s">
        <v>932</v>
      </c>
      <c r="O200" s="6" t="s">
        <v>933</v>
      </c>
      <c r="P200" s="6"/>
    </row>
    <row r="201" customFormat="false" ht="72.75" hidden="false" customHeight="true" outlineLevel="0" collapsed="false">
      <c r="A201" s="5" t="n">
        <v>20</v>
      </c>
      <c r="B201" s="6" t="s">
        <v>760</v>
      </c>
      <c r="C201" s="6" t="s">
        <v>761</v>
      </c>
      <c r="D201" s="6" t="s">
        <v>22</v>
      </c>
      <c r="E201" s="6" t="s">
        <v>897</v>
      </c>
      <c r="F201" s="7" t="s">
        <v>934</v>
      </c>
      <c r="G201" s="7" t="s">
        <v>31</v>
      </c>
      <c r="H201" s="5" t="n">
        <v>2</v>
      </c>
      <c r="I201" s="6"/>
      <c r="J201" s="5" t="n">
        <v>21</v>
      </c>
      <c r="K201" s="6" t="s">
        <v>907</v>
      </c>
      <c r="L201" s="6" t="s">
        <v>935</v>
      </c>
      <c r="M201" s="6" t="s">
        <v>614</v>
      </c>
      <c r="N201" s="6" t="s">
        <v>28</v>
      </c>
      <c r="O201" s="6" t="s">
        <v>936</v>
      </c>
      <c r="P201" s="6"/>
    </row>
    <row r="202" customFormat="false" ht="96" hidden="false" customHeight="true" outlineLevel="0" collapsed="false">
      <c r="A202" s="5" t="n">
        <v>24</v>
      </c>
      <c r="B202" s="6" t="s">
        <v>760</v>
      </c>
      <c r="C202" s="6" t="s">
        <v>761</v>
      </c>
      <c r="D202" s="6" t="s">
        <v>22</v>
      </c>
      <c r="E202" s="6" t="s">
        <v>897</v>
      </c>
      <c r="F202" s="7" t="s">
        <v>937</v>
      </c>
      <c r="G202" s="7" t="s">
        <v>31</v>
      </c>
      <c r="H202" s="5" t="n">
        <v>2</v>
      </c>
      <c r="I202" s="6"/>
      <c r="J202" s="5" t="n">
        <v>21</v>
      </c>
      <c r="K202" s="6" t="s">
        <v>938</v>
      </c>
      <c r="L202" s="6" t="s">
        <v>939</v>
      </c>
      <c r="M202" s="6" t="s">
        <v>27</v>
      </c>
      <c r="N202" s="6" t="s">
        <v>454</v>
      </c>
      <c r="O202" s="6" t="s">
        <v>940</v>
      </c>
      <c r="P202" s="6" t="s">
        <v>941</v>
      </c>
    </row>
    <row r="203" customFormat="false" ht="96" hidden="false" customHeight="true" outlineLevel="0" collapsed="false">
      <c r="A203" s="5" t="n">
        <v>18</v>
      </c>
      <c r="B203" s="6" t="s">
        <v>760</v>
      </c>
      <c r="C203" s="6" t="s">
        <v>761</v>
      </c>
      <c r="D203" s="6" t="s">
        <v>22</v>
      </c>
      <c r="E203" s="6" t="s">
        <v>897</v>
      </c>
      <c r="F203" s="7" t="s">
        <v>942</v>
      </c>
      <c r="G203" s="7" t="s">
        <v>31</v>
      </c>
      <c r="H203" s="5" t="n">
        <v>2</v>
      </c>
      <c r="I203" s="6"/>
      <c r="J203" s="5" t="n">
        <v>21</v>
      </c>
      <c r="K203" s="6" t="s">
        <v>943</v>
      </c>
      <c r="L203" s="6" t="s">
        <v>944</v>
      </c>
      <c r="M203" s="6" t="s">
        <v>945</v>
      </c>
      <c r="N203" s="6" t="s">
        <v>946</v>
      </c>
      <c r="O203" s="6" t="s">
        <v>947</v>
      </c>
      <c r="P203" s="6"/>
    </row>
    <row r="204" customFormat="false" ht="107.25" hidden="false" customHeight="true" outlineLevel="0" collapsed="false">
      <c r="A204" s="5" t="n">
        <v>25</v>
      </c>
      <c r="B204" s="6" t="s">
        <v>760</v>
      </c>
      <c r="C204" s="6" t="s">
        <v>761</v>
      </c>
      <c r="D204" s="6" t="s">
        <v>22</v>
      </c>
      <c r="E204" s="6" t="s">
        <v>897</v>
      </c>
      <c r="F204" s="7" t="s">
        <v>948</v>
      </c>
      <c r="G204" s="7" t="s">
        <v>31</v>
      </c>
      <c r="H204" s="5" t="n">
        <v>2</v>
      </c>
      <c r="I204" s="6"/>
      <c r="J204" s="5" t="n">
        <v>21</v>
      </c>
      <c r="K204" s="6" t="s">
        <v>949</v>
      </c>
      <c r="L204" s="6" t="s">
        <v>950</v>
      </c>
      <c r="M204" s="6" t="s">
        <v>951</v>
      </c>
      <c r="N204" s="6" t="s">
        <v>952</v>
      </c>
      <c r="O204" s="6" t="s">
        <v>953</v>
      </c>
      <c r="P204" s="6" t="s">
        <v>954</v>
      </c>
    </row>
    <row r="205" customFormat="false" ht="96" hidden="false" customHeight="true" outlineLevel="0" collapsed="false">
      <c r="A205" s="5" t="n">
        <v>14</v>
      </c>
      <c r="B205" s="6" t="s">
        <v>760</v>
      </c>
      <c r="C205" s="6" t="s">
        <v>761</v>
      </c>
      <c r="D205" s="6" t="s">
        <v>22</v>
      </c>
      <c r="E205" s="6" t="s">
        <v>897</v>
      </c>
      <c r="F205" s="7" t="s">
        <v>955</v>
      </c>
      <c r="G205" s="7" t="s">
        <v>331</v>
      </c>
      <c r="H205" s="5" t="n">
        <v>1</v>
      </c>
      <c r="I205" s="6"/>
      <c r="J205" s="5" t="n">
        <v>21</v>
      </c>
      <c r="K205" s="6" t="s">
        <v>956</v>
      </c>
      <c r="L205" s="6" t="s">
        <v>957</v>
      </c>
      <c r="M205" s="6" t="s">
        <v>958</v>
      </c>
      <c r="N205" s="6" t="s">
        <v>952</v>
      </c>
      <c r="O205" s="6" t="s">
        <v>959</v>
      </c>
      <c r="P205" s="6"/>
    </row>
    <row r="206" customFormat="false" ht="72.75" hidden="false" customHeight="true" outlineLevel="0" collapsed="false">
      <c r="A206" s="5" t="n">
        <v>159</v>
      </c>
      <c r="B206" s="6" t="s">
        <v>760</v>
      </c>
      <c r="C206" s="6" t="s">
        <v>761</v>
      </c>
      <c r="D206" s="6" t="s">
        <v>22</v>
      </c>
      <c r="E206" s="6" t="s">
        <v>897</v>
      </c>
      <c r="F206" s="7" t="s">
        <v>960</v>
      </c>
      <c r="G206" s="7" t="s">
        <v>31</v>
      </c>
      <c r="H206" s="5" t="n">
        <v>2</v>
      </c>
      <c r="I206" s="6"/>
      <c r="J206" s="5" t="n">
        <v>21</v>
      </c>
      <c r="K206" s="6" t="s">
        <v>961</v>
      </c>
      <c r="L206" s="6" t="s">
        <v>962</v>
      </c>
      <c r="M206" s="6" t="s">
        <v>963</v>
      </c>
      <c r="N206" s="6" t="s">
        <v>778</v>
      </c>
      <c r="O206" s="6" t="s">
        <v>964</v>
      </c>
      <c r="P206" s="6"/>
    </row>
    <row r="207" customFormat="false" ht="141.75" hidden="false" customHeight="true" outlineLevel="0" collapsed="false">
      <c r="A207" s="5" t="n">
        <v>298</v>
      </c>
      <c r="B207" s="6" t="s">
        <v>760</v>
      </c>
      <c r="C207" s="6" t="s">
        <v>761</v>
      </c>
      <c r="D207" s="6" t="s">
        <v>22</v>
      </c>
      <c r="E207" s="6" t="s">
        <v>897</v>
      </c>
      <c r="F207" s="7" t="s">
        <v>965</v>
      </c>
      <c r="G207" s="7" t="s">
        <v>31</v>
      </c>
      <c r="H207" s="5" t="n">
        <v>2</v>
      </c>
      <c r="I207" s="6"/>
      <c r="J207" s="5" t="n">
        <v>21</v>
      </c>
      <c r="K207" s="6" t="s">
        <v>966</v>
      </c>
      <c r="L207" s="6" t="s">
        <v>967</v>
      </c>
      <c r="M207" s="6" t="s">
        <v>958</v>
      </c>
      <c r="N207" s="6" t="s">
        <v>800</v>
      </c>
      <c r="O207" s="6" t="s">
        <v>968</v>
      </c>
      <c r="P207" s="6"/>
    </row>
    <row r="208" customFormat="false" ht="15.75" hidden="false" customHeight="true" outlineLevel="0" collapsed="false">
      <c r="A208" s="5" t="n">
        <v>154</v>
      </c>
      <c r="B208" s="6" t="s">
        <v>760</v>
      </c>
      <c r="C208" s="6" t="s">
        <v>761</v>
      </c>
      <c r="D208" s="6" t="s">
        <v>969</v>
      </c>
      <c r="E208" s="6"/>
      <c r="F208" s="7" t="s">
        <v>970</v>
      </c>
      <c r="G208" s="7" t="s">
        <v>50</v>
      </c>
      <c r="H208" s="5"/>
      <c r="I208" s="6"/>
      <c r="J208" s="5" t="n">
        <v>28</v>
      </c>
      <c r="K208" s="6" t="s">
        <v>51</v>
      </c>
      <c r="L208" s="6"/>
      <c r="M208" s="6"/>
      <c r="N208" s="6"/>
      <c r="O208" s="6" t="s">
        <v>971</v>
      </c>
      <c r="P208" s="6" t="s">
        <v>972</v>
      </c>
    </row>
    <row r="209" customFormat="false" ht="39" hidden="false" customHeight="true" outlineLevel="0" collapsed="false">
      <c r="A209" s="5" t="n">
        <v>44</v>
      </c>
      <c r="B209" s="6" t="s">
        <v>760</v>
      </c>
      <c r="C209" s="6" t="s">
        <v>761</v>
      </c>
      <c r="D209" s="6" t="s">
        <v>969</v>
      </c>
      <c r="E209" s="6"/>
      <c r="F209" s="7" t="s">
        <v>973</v>
      </c>
      <c r="G209" s="7" t="s">
        <v>31</v>
      </c>
      <c r="H209" s="5" t="n">
        <v>3</v>
      </c>
      <c r="I209" s="6"/>
      <c r="J209" s="5" t="n">
        <v>21</v>
      </c>
      <c r="K209" s="6" t="s">
        <v>974</v>
      </c>
      <c r="L209" s="6" t="s">
        <v>975</v>
      </c>
      <c r="M209" s="6" t="s">
        <v>75</v>
      </c>
      <c r="N209" s="6"/>
      <c r="O209" s="6" t="s">
        <v>976</v>
      </c>
      <c r="P209" s="6" t="s">
        <v>879</v>
      </c>
    </row>
    <row r="210" customFormat="false" ht="84.75" hidden="false" customHeight="true" outlineLevel="0" collapsed="false">
      <c r="A210" s="5" t="n">
        <v>153</v>
      </c>
      <c r="B210" s="6" t="s">
        <v>760</v>
      </c>
      <c r="C210" s="6" t="s">
        <v>761</v>
      </c>
      <c r="D210" s="6" t="s">
        <v>969</v>
      </c>
      <c r="E210" s="6"/>
      <c r="F210" s="7" t="s">
        <v>977</v>
      </c>
      <c r="G210" s="7" t="s">
        <v>31</v>
      </c>
      <c r="H210" s="5" t="n">
        <v>2</v>
      </c>
      <c r="I210" s="6"/>
      <c r="J210" s="5" t="n">
        <v>21</v>
      </c>
      <c r="K210" s="6" t="s">
        <v>480</v>
      </c>
      <c r="L210" s="6" t="s">
        <v>978</v>
      </c>
      <c r="M210" s="6" t="s">
        <v>789</v>
      </c>
      <c r="N210" s="6" t="s">
        <v>368</v>
      </c>
      <c r="O210" s="6" t="s">
        <v>979</v>
      </c>
      <c r="P210" s="6"/>
    </row>
    <row r="211" customFormat="false" ht="27.75" hidden="false" customHeight="true" outlineLevel="0" collapsed="false">
      <c r="A211" s="5" t="n">
        <v>11</v>
      </c>
      <c r="B211" s="6" t="s">
        <v>760</v>
      </c>
      <c r="C211" s="6" t="s">
        <v>761</v>
      </c>
      <c r="D211" s="6" t="s">
        <v>969</v>
      </c>
      <c r="E211" s="6"/>
      <c r="F211" s="7" t="s">
        <v>980</v>
      </c>
      <c r="G211" s="7" t="s">
        <v>31</v>
      </c>
      <c r="H211" s="5" t="n">
        <v>3</v>
      </c>
      <c r="I211" s="6"/>
      <c r="J211" s="5" t="n">
        <v>0</v>
      </c>
      <c r="K211" s="6" t="s">
        <v>87</v>
      </c>
      <c r="L211" s="6" t="s">
        <v>981</v>
      </c>
      <c r="M211" s="6"/>
      <c r="N211" s="6"/>
      <c r="O211" s="6" t="s">
        <v>982</v>
      </c>
      <c r="P211" s="6" t="s">
        <v>983</v>
      </c>
    </row>
    <row r="212" customFormat="false" ht="96" hidden="false" customHeight="true" outlineLevel="0" collapsed="false">
      <c r="A212" s="5" t="n">
        <v>152</v>
      </c>
      <c r="B212" s="6" t="s">
        <v>760</v>
      </c>
      <c r="C212" s="6" t="s">
        <v>761</v>
      </c>
      <c r="D212" s="6" t="s">
        <v>984</v>
      </c>
      <c r="E212" s="6"/>
      <c r="F212" s="7" t="s">
        <v>985</v>
      </c>
      <c r="G212" s="7" t="s">
        <v>31</v>
      </c>
      <c r="H212" s="5" t="n">
        <v>2</v>
      </c>
      <c r="I212" s="6"/>
      <c r="J212" s="5" t="n">
        <v>21</v>
      </c>
      <c r="K212" s="6" t="s">
        <v>986</v>
      </c>
      <c r="L212" s="6" t="s">
        <v>987</v>
      </c>
      <c r="M212" s="6" t="s">
        <v>258</v>
      </c>
      <c r="N212" s="6" t="s">
        <v>347</v>
      </c>
      <c r="O212" s="6" t="s">
        <v>988</v>
      </c>
      <c r="P212" s="6" t="s">
        <v>989</v>
      </c>
    </row>
    <row r="213" customFormat="false" ht="84.75" hidden="false" customHeight="true" outlineLevel="0" collapsed="false">
      <c r="A213" s="5" t="n">
        <v>299</v>
      </c>
      <c r="B213" s="6" t="s">
        <v>760</v>
      </c>
      <c r="C213" s="6" t="s">
        <v>761</v>
      </c>
      <c r="D213" s="6" t="s">
        <v>984</v>
      </c>
      <c r="E213" s="6"/>
      <c r="F213" s="7" t="s">
        <v>990</v>
      </c>
      <c r="G213" s="7" t="s">
        <v>31</v>
      </c>
      <c r="H213" s="5" t="n">
        <v>2</v>
      </c>
      <c r="I213" s="6"/>
      <c r="J213" s="5" t="n">
        <v>21</v>
      </c>
      <c r="K213" s="6" t="s">
        <v>480</v>
      </c>
      <c r="L213" s="6" t="s">
        <v>991</v>
      </c>
      <c r="M213" s="6" t="s">
        <v>376</v>
      </c>
      <c r="N213" s="6" t="s">
        <v>368</v>
      </c>
      <c r="O213" s="6" t="s">
        <v>992</v>
      </c>
      <c r="P213" s="6" t="s">
        <v>993</v>
      </c>
    </row>
    <row r="214" customFormat="false" ht="186.75" hidden="false" customHeight="true" outlineLevel="0" collapsed="false">
      <c r="A214" s="5" t="s">
        <v>994</v>
      </c>
      <c r="B214" s="6" t="s">
        <v>760</v>
      </c>
      <c r="C214" s="6" t="s">
        <v>761</v>
      </c>
      <c r="D214" s="6" t="s">
        <v>984</v>
      </c>
      <c r="E214" s="6"/>
      <c r="F214" s="7" t="s">
        <v>995</v>
      </c>
      <c r="G214" s="7" t="s">
        <v>24</v>
      </c>
      <c r="H214" s="5" t="n">
        <v>3</v>
      </c>
      <c r="I214" s="6"/>
      <c r="J214" s="5" t="n">
        <v>21</v>
      </c>
      <c r="K214" s="6" t="s">
        <v>996</v>
      </c>
      <c r="L214" s="6" t="s">
        <v>997</v>
      </c>
      <c r="M214" s="6" t="s">
        <v>998</v>
      </c>
      <c r="N214" s="6" t="s">
        <v>800</v>
      </c>
      <c r="O214" s="6" t="s">
        <v>999</v>
      </c>
      <c r="P214" s="6"/>
    </row>
    <row r="215" customFormat="false" ht="84.75" hidden="false" customHeight="true" outlineLevel="0" collapsed="false">
      <c r="A215" s="5" t="n">
        <v>150</v>
      </c>
      <c r="B215" s="6" t="s">
        <v>760</v>
      </c>
      <c r="C215" s="6" t="s">
        <v>761</v>
      </c>
      <c r="D215" s="6" t="s">
        <v>984</v>
      </c>
      <c r="E215" s="6"/>
      <c r="F215" s="7" t="s">
        <v>1000</v>
      </c>
      <c r="G215" s="7" t="s">
        <v>31</v>
      </c>
      <c r="H215" s="5" t="n">
        <v>2</v>
      </c>
      <c r="I215" s="6"/>
      <c r="J215" s="5" t="n">
        <v>21</v>
      </c>
      <c r="K215" s="6" t="s">
        <v>32</v>
      </c>
      <c r="L215" s="6" t="s">
        <v>1001</v>
      </c>
      <c r="M215" s="6" t="s">
        <v>1002</v>
      </c>
      <c r="N215" s="6" t="s">
        <v>28</v>
      </c>
      <c r="O215" s="6" t="s">
        <v>1003</v>
      </c>
      <c r="P215" s="6"/>
    </row>
    <row r="216" customFormat="false" ht="129.75" hidden="false" customHeight="true" outlineLevel="0" collapsed="false">
      <c r="A216" s="5" t="n">
        <v>151</v>
      </c>
      <c r="B216" s="6" t="s">
        <v>760</v>
      </c>
      <c r="C216" s="6" t="s">
        <v>761</v>
      </c>
      <c r="D216" s="6" t="s">
        <v>984</v>
      </c>
      <c r="E216" s="6"/>
      <c r="F216" s="7" t="s">
        <v>1004</v>
      </c>
      <c r="G216" s="7" t="s">
        <v>31</v>
      </c>
      <c r="H216" s="5" t="n">
        <v>2</v>
      </c>
      <c r="I216" s="6"/>
      <c r="J216" s="5" t="n">
        <v>21</v>
      </c>
      <c r="K216" s="6" t="s">
        <v>1005</v>
      </c>
      <c r="L216" s="6" t="s">
        <v>798</v>
      </c>
      <c r="M216" s="6" t="s">
        <v>958</v>
      </c>
      <c r="N216" s="6" t="s">
        <v>800</v>
      </c>
      <c r="O216" s="6" t="s">
        <v>1006</v>
      </c>
      <c r="P216" s="6"/>
    </row>
    <row r="217" customFormat="false" ht="96" hidden="false" customHeight="true" outlineLevel="0" collapsed="false">
      <c r="A217" s="5" t="n">
        <v>22</v>
      </c>
      <c r="B217" s="6" t="s">
        <v>760</v>
      </c>
      <c r="C217" s="6" t="s">
        <v>761</v>
      </c>
      <c r="D217" s="6" t="s">
        <v>984</v>
      </c>
      <c r="E217" s="6"/>
      <c r="F217" s="7" t="s">
        <v>1007</v>
      </c>
      <c r="G217" s="7" t="s">
        <v>31</v>
      </c>
      <c r="H217" s="5" t="n">
        <v>2</v>
      </c>
      <c r="I217" s="6"/>
      <c r="J217" s="5" t="n">
        <v>21</v>
      </c>
      <c r="K217" s="6" t="s">
        <v>1008</v>
      </c>
      <c r="L217" s="6" t="s">
        <v>1009</v>
      </c>
      <c r="M217" s="6" t="s">
        <v>777</v>
      </c>
      <c r="N217" s="6" t="s">
        <v>778</v>
      </c>
      <c r="O217" s="6" t="s">
        <v>1010</v>
      </c>
      <c r="P217" s="6" t="s">
        <v>1011</v>
      </c>
    </row>
    <row r="218" customFormat="false" ht="84.75" hidden="false" customHeight="true" outlineLevel="0" collapsed="false">
      <c r="A218" s="5" t="n">
        <v>23</v>
      </c>
      <c r="B218" s="6" t="s">
        <v>760</v>
      </c>
      <c r="C218" s="6" t="s">
        <v>761</v>
      </c>
      <c r="D218" s="6" t="s">
        <v>984</v>
      </c>
      <c r="E218" s="6"/>
      <c r="F218" s="7" t="s">
        <v>1012</v>
      </c>
      <c r="G218" s="7" t="s">
        <v>31</v>
      </c>
      <c r="H218" s="5" t="n">
        <v>2</v>
      </c>
      <c r="I218" s="6"/>
      <c r="J218" s="5" t="n">
        <v>21</v>
      </c>
      <c r="K218" s="6" t="s">
        <v>1013</v>
      </c>
      <c r="L218" s="6" t="s">
        <v>1014</v>
      </c>
      <c r="M218" s="6" t="s">
        <v>799</v>
      </c>
      <c r="N218" s="6" t="s">
        <v>952</v>
      </c>
      <c r="O218" s="6" t="s">
        <v>1015</v>
      </c>
      <c r="P218" s="6" t="s">
        <v>1011</v>
      </c>
    </row>
    <row r="219" customFormat="false" ht="141.75" hidden="false" customHeight="true" outlineLevel="0" collapsed="false">
      <c r="A219" s="5" t="n">
        <v>297</v>
      </c>
      <c r="B219" s="6" t="s">
        <v>760</v>
      </c>
      <c r="C219" s="6" t="s">
        <v>761</v>
      </c>
      <c r="D219" s="6" t="s">
        <v>984</v>
      </c>
      <c r="E219" s="6"/>
      <c r="F219" s="7" t="s">
        <v>1016</v>
      </c>
      <c r="G219" s="7" t="s">
        <v>31</v>
      </c>
      <c r="H219" s="5" t="n">
        <v>2</v>
      </c>
      <c r="I219" s="6"/>
      <c r="J219" s="5" t="n">
        <v>21</v>
      </c>
      <c r="K219" s="6" t="s">
        <v>1017</v>
      </c>
      <c r="L219" s="6" t="s">
        <v>1018</v>
      </c>
      <c r="M219" s="6" t="s">
        <v>799</v>
      </c>
      <c r="N219" s="6" t="s">
        <v>800</v>
      </c>
      <c r="O219" s="6" t="s">
        <v>1019</v>
      </c>
      <c r="P219" s="6" t="s">
        <v>1011</v>
      </c>
    </row>
    <row r="220" customFormat="false" ht="50.25" hidden="false" customHeight="true" outlineLevel="0" collapsed="false">
      <c r="A220" s="5" t="n">
        <v>166</v>
      </c>
      <c r="B220" s="6" t="s">
        <v>760</v>
      </c>
      <c r="C220" s="6" t="s">
        <v>1020</v>
      </c>
      <c r="D220" s="6" t="s">
        <v>1021</v>
      </c>
      <c r="E220" s="6"/>
      <c r="F220" s="7" t="s">
        <v>1022</v>
      </c>
      <c r="G220" s="7" t="s">
        <v>31</v>
      </c>
      <c r="H220" s="5" t="n">
        <v>2</v>
      </c>
      <c r="I220" s="6"/>
      <c r="J220" s="5" t="n">
        <v>21</v>
      </c>
      <c r="K220" s="6" t="s">
        <v>1023</v>
      </c>
      <c r="L220" s="6" t="s">
        <v>1024</v>
      </c>
      <c r="M220" s="6" t="s">
        <v>1025</v>
      </c>
      <c r="N220" s="6" t="s">
        <v>347</v>
      </c>
      <c r="O220" s="6" t="s">
        <v>1026</v>
      </c>
      <c r="P220" s="6"/>
    </row>
    <row r="221" customFormat="false" ht="50.25" hidden="false" customHeight="true" outlineLevel="0" collapsed="false">
      <c r="A221" s="5" t="n">
        <v>165</v>
      </c>
      <c r="B221" s="6" t="s">
        <v>760</v>
      </c>
      <c r="C221" s="6" t="s">
        <v>1020</v>
      </c>
      <c r="D221" s="6" t="s">
        <v>1021</v>
      </c>
      <c r="E221" s="6"/>
      <c r="F221" s="7" t="s">
        <v>1027</v>
      </c>
      <c r="G221" s="7" t="s">
        <v>31</v>
      </c>
      <c r="H221" s="5" t="n">
        <v>2</v>
      </c>
      <c r="I221" s="6"/>
      <c r="J221" s="5" t="n">
        <v>21</v>
      </c>
      <c r="K221" s="6" t="s">
        <v>1023</v>
      </c>
      <c r="L221" s="6" t="s">
        <v>1024</v>
      </c>
      <c r="M221" s="6" t="s">
        <v>1025</v>
      </c>
      <c r="N221" s="6" t="s">
        <v>347</v>
      </c>
      <c r="O221" s="6" t="s">
        <v>1028</v>
      </c>
      <c r="P221" s="6"/>
    </row>
    <row r="222" customFormat="false" ht="129.75" hidden="false" customHeight="true" outlineLevel="0" collapsed="false">
      <c r="A222" s="5" t="s">
        <v>1029</v>
      </c>
      <c r="B222" s="6" t="s">
        <v>760</v>
      </c>
      <c r="C222" s="6" t="s">
        <v>1020</v>
      </c>
      <c r="D222" s="6" t="s">
        <v>1030</v>
      </c>
      <c r="E222" s="6"/>
      <c r="F222" s="7" t="s">
        <v>1031</v>
      </c>
      <c r="G222" s="7" t="s">
        <v>24</v>
      </c>
      <c r="H222" s="5" t="n">
        <v>4</v>
      </c>
      <c r="I222" s="6"/>
      <c r="J222" s="5" t="n">
        <v>21</v>
      </c>
      <c r="K222" s="6" t="s">
        <v>1032</v>
      </c>
      <c r="L222" s="6" t="s">
        <v>1033</v>
      </c>
      <c r="M222" s="6" t="s">
        <v>602</v>
      </c>
      <c r="N222" s="6" t="s">
        <v>668</v>
      </c>
      <c r="O222" s="6" t="s">
        <v>1034</v>
      </c>
      <c r="P222" s="6"/>
    </row>
    <row r="223" customFormat="false" ht="96" hidden="false" customHeight="true" outlineLevel="0" collapsed="false">
      <c r="A223" s="5" t="s">
        <v>1035</v>
      </c>
      <c r="B223" s="6" t="s">
        <v>760</v>
      </c>
      <c r="C223" s="6" t="s">
        <v>1020</v>
      </c>
      <c r="D223" s="6" t="s">
        <v>1030</v>
      </c>
      <c r="E223" s="6"/>
      <c r="F223" s="7" t="s">
        <v>1036</v>
      </c>
      <c r="G223" s="7" t="s">
        <v>24</v>
      </c>
      <c r="H223" s="5" t="n">
        <v>3</v>
      </c>
      <c r="I223" s="6"/>
      <c r="J223" s="5" t="n">
        <v>21</v>
      </c>
      <c r="K223" s="6" t="s">
        <v>1037</v>
      </c>
      <c r="L223" s="6" t="s">
        <v>1038</v>
      </c>
      <c r="M223" s="6" t="s">
        <v>1039</v>
      </c>
      <c r="N223" s="6" t="s">
        <v>454</v>
      </c>
      <c r="O223" s="6" t="s">
        <v>1040</v>
      </c>
      <c r="P223" s="6"/>
    </row>
    <row r="224" customFormat="false" ht="72.75" hidden="false" customHeight="true" outlineLevel="0" collapsed="false">
      <c r="A224" s="5" t="n">
        <v>167</v>
      </c>
      <c r="B224" s="6" t="s">
        <v>760</v>
      </c>
      <c r="C224" s="6" t="s">
        <v>1020</v>
      </c>
      <c r="D224" s="6" t="s">
        <v>1030</v>
      </c>
      <c r="E224" s="6"/>
      <c r="F224" s="7" t="s">
        <v>1041</v>
      </c>
      <c r="G224" s="7" t="s">
        <v>31</v>
      </c>
      <c r="H224" s="5" t="n">
        <v>3</v>
      </c>
      <c r="I224" s="6"/>
      <c r="J224" s="5" t="n">
        <v>21</v>
      </c>
      <c r="K224" s="6" t="s">
        <v>1042</v>
      </c>
      <c r="L224" s="6" t="s">
        <v>1043</v>
      </c>
      <c r="M224" s="6" t="s">
        <v>624</v>
      </c>
      <c r="N224" s="6" t="s">
        <v>1044</v>
      </c>
      <c r="O224" s="6" t="s">
        <v>1045</v>
      </c>
      <c r="P224" s="6" t="s">
        <v>1046</v>
      </c>
    </row>
    <row r="225" customFormat="false" ht="61.5" hidden="false" customHeight="true" outlineLevel="0" collapsed="false">
      <c r="A225" s="5" t="n">
        <v>168</v>
      </c>
      <c r="B225" s="6" t="s">
        <v>760</v>
      </c>
      <c r="C225" s="6" t="s">
        <v>1047</v>
      </c>
      <c r="D225" s="6" t="s">
        <v>664</v>
      </c>
      <c r="E225" s="6"/>
      <c r="F225" s="7" t="s">
        <v>1048</v>
      </c>
      <c r="G225" s="7" t="s">
        <v>31</v>
      </c>
      <c r="H225" s="5" t="n">
        <v>2</v>
      </c>
      <c r="I225" s="6"/>
      <c r="J225" s="5" t="n">
        <v>21</v>
      </c>
      <c r="K225" s="6" t="s">
        <v>1049</v>
      </c>
      <c r="L225" s="6" t="s">
        <v>776</v>
      </c>
      <c r="M225" s="6" t="s">
        <v>1050</v>
      </c>
      <c r="N225" s="6" t="s">
        <v>778</v>
      </c>
      <c r="O225" s="6" t="s">
        <v>1051</v>
      </c>
      <c r="P225" s="6"/>
    </row>
    <row r="226" customFormat="false" ht="61.5" hidden="false" customHeight="true" outlineLevel="0" collapsed="false">
      <c r="A226" s="5" t="n">
        <v>301</v>
      </c>
      <c r="B226" s="6" t="s">
        <v>760</v>
      </c>
      <c r="C226" s="6" t="s">
        <v>1047</v>
      </c>
      <c r="D226" s="6" t="s">
        <v>664</v>
      </c>
      <c r="E226" s="6"/>
      <c r="F226" s="7" t="s">
        <v>1052</v>
      </c>
      <c r="G226" s="7" t="s">
        <v>50</v>
      </c>
      <c r="H226" s="5"/>
      <c r="I226" s="6"/>
      <c r="J226" s="5" t="n">
        <v>21</v>
      </c>
      <c r="K226" s="6" t="s">
        <v>51</v>
      </c>
      <c r="L226" s="6"/>
      <c r="M226" s="6" t="s">
        <v>61</v>
      </c>
      <c r="N226" s="6"/>
      <c r="O226" s="6" t="s">
        <v>1053</v>
      </c>
      <c r="P226" s="6"/>
    </row>
    <row r="227" customFormat="false" ht="141.75" hidden="false" customHeight="true" outlineLevel="0" collapsed="false">
      <c r="A227" s="5" t="n">
        <v>169</v>
      </c>
      <c r="B227" s="6" t="s">
        <v>760</v>
      </c>
      <c r="C227" s="6" t="s">
        <v>1054</v>
      </c>
      <c r="D227" s="6" t="s">
        <v>664</v>
      </c>
      <c r="E227" s="6"/>
      <c r="F227" s="7" t="s">
        <v>1055</v>
      </c>
      <c r="G227" s="7" t="s">
        <v>31</v>
      </c>
      <c r="H227" s="5" t="n">
        <v>2</v>
      </c>
      <c r="I227" s="6"/>
      <c r="J227" s="5" t="n">
        <v>21</v>
      </c>
      <c r="K227" s="6" t="s">
        <v>1056</v>
      </c>
      <c r="L227" s="6" t="s">
        <v>1057</v>
      </c>
      <c r="M227" s="6" t="s">
        <v>1058</v>
      </c>
      <c r="N227" s="6" t="s">
        <v>1059</v>
      </c>
      <c r="O227" s="6" t="s">
        <v>1060</v>
      </c>
      <c r="P227" s="6"/>
    </row>
    <row r="228" customFormat="false" ht="107.25" hidden="false" customHeight="true" outlineLevel="0" collapsed="false">
      <c r="A228" s="5" t="n">
        <v>290</v>
      </c>
      <c r="B228" s="6" t="s">
        <v>760</v>
      </c>
      <c r="C228" s="6" t="s">
        <v>1054</v>
      </c>
      <c r="D228" s="6" t="s">
        <v>664</v>
      </c>
      <c r="E228" s="6"/>
      <c r="F228" s="7" t="s">
        <v>1061</v>
      </c>
      <c r="G228" s="7" t="s">
        <v>31</v>
      </c>
      <c r="H228" s="5" t="n">
        <v>2</v>
      </c>
      <c r="I228" s="6"/>
      <c r="J228" s="5" t="n">
        <v>21</v>
      </c>
      <c r="K228" s="6" t="s">
        <v>1062</v>
      </c>
      <c r="L228" s="6" t="s">
        <v>1063</v>
      </c>
      <c r="M228" s="6" t="s">
        <v>1058</v>
      </c>
      <c r="N228" s="6" t="s">
        <v>1064</v>
      </c>
      <c r="O228" s="6" t="s">
        <v>1065</v>
      </c>
      <c r="P228" s="6"/>
    </row>
    <row r="229" customFormat="false" ht="50.25" hidden="false" customHeight="true" outlineLevel="0" collapsed="false">
      <c r="A229" s="5" t="n">
        <v>302</v>
      </c>
      <c r="B229" s="6" t="s">
        <v>760</v>
      </c>
      <c r="C229" s="6" t="s">
        <v>1054</v>
      </c>
      <c r="D229" s="6" t="s">
        <v>664</v>
      </c>
      <c r="E229" s="6"/>
      <c r="F229" s="7" t="s">
        <v>1066</v>
      </c>
      <c r="G229" s="7" t="s">
        <v>31</v>
      </c>
      <c r="H229" s="5" t="n">
        <v>2</v>
      </c>
      <c r="I229" s="6"/>
      <c r="J229" s="5" t="n">
        <v>21</v>
      </c>
      <c r="K229" s="6" t="s">
        <v>1067</v>
      </c>
      <c r="L229" s="6" t="s">
        <v>229</v>
      </c>
      <c r="M229" s="6" t="s">
        <v>527</v>
      </c>
      <c r="N229" s="6" t="s">
        <v>368</v>
      </c>
      <c r="O229" s="6" t="s">
        <v>1068</v>
      </c>
      <c r="P229" s="6"/>
    </row>
    <row r="230" customFormat="false" ht="107.25" hidden="false" customHeight="true" outlineLevel="0" collapsed="false">
      <c r="A230" s="5" t="s">
        <v>1069</v>
      </c>
      <c r="B230" s="6" t="s">
        <v>1070</v>
      </c>
      <c r="C230" s="6" t="s">
        <v>1070</v>
      </c>
      <c r="D230" s="6" t="s">
        <v>22</v>
      </c>
      <c r="E230" s="6"/>
      <c r="F230" s="7" t="s">
        <v>1071</v>
      </c>
      <c r="G230" s="7" t="s">
        <v>24</v>
      </c>
      <c r="H230" s="5" t="n">
        <v>4</v>
      </c>
      <c r="I230" s="6"/>
      <c r="J230" s="5" t="n">
        <v>28</v>
      </c>
      <c r="K230" s="6" t="s">
        <v>1072</v>
      </c>
      <c r="L230" s="6" t="s">
        <v>1073</v>
      </c>
      <c r="M230" s="6"/>
      <c r="N230" s="6"/>
      <c r="O230" s="6" t="s">
        <v>1074</v>
      </c>
      <c r="P230" s="6"/>
    </row>
    <row r="231" customFormat="false" ht="61.5" hidden="false" customHeight="true" outlineLevel="0" collapsed="false">
      <c r="A231" s="5" t="s">
        <v>1075</v>
      </c>
      <c r="B231" s="6" t="s">
        <v>1070</v>
      </c>
      <c r="C231" s="6" t="s">
        <v>1070</v>
      </c>
      <c r="D231" s="6" t="s">
        <v>22</v>
      </c>
      <c r="E231" s="6"/>
      <c r="F231" s="7" t="s">
        <v>1076</v>
      </c>
      <c r="G231" s="7" t="s">
        <v>24</v>
      </c>
      <c r="H231" s="5" t="n">
        <v>3</v>
      </c>
      <c r="I231" s="6"/>
      <c r="J231" s="5" t="n">
        <v>28</v>
      </c>
      <c r="K231" s="6" t="s">
        <v>1077</v>
      </c>
      <c r="L231" s="6" t="s">
        <v>1078</v>
      </c>
      <c r="M231" s="6"/>
      <c r="N231" s="6"/>
      <c r="O231" s="6" t="s">
        <v>1079</v>
      </c>
      <c r="P231" s="6"/>
    </row>
    <row r="232" customFormat="false" ht="61.5" hidden="false" customHeight="true" outlineLevel="0" collapsed="false">
      <c r="A232" s="5" t="s">
        <v>1080</v>
      </c>
      <c r="B232" s="6" t="s">
        <v>1070</v>
      </c>
      <c r="C232" s="6" t="s">
        <v>1070</v>
      </c>
      <c r="D232" s="6" t="s">
        <v>22</v>
      </c>
      <c r="E232" s="6"/>
      <c r="F232" s="7" t="s">
        <v>1081</v>
      </c>
      <c r="G232" s="7" t="s">
        <v>24</v>
      </c>
      <c r="H232" s="5" t="n">
        <v>4</v>
      </c>
      <c r="I232" s="6"/>
      <c r="J232" s="5" t="n">
        <v>28</v>
      </c>
      <c r="K232" s="6" t="s">
        <v>1082</v>
      </c>
      <c r="L232" s="6" t="s">
        <v>1083</v>
      </c>
      <c r="M232" s="6"/>
      <c r="N232" s="6"/>
      <c r="O232" s="6" t="s">
        <v>1084</v>
      </c>
      <c r="P232" s="6"/>
    </row>
    <row r="233" customFormat="false" ht="72.75" hidden="false" customHeight="true" outlineLevel="0" collapsed="false">
      <c r="A233" s="5" t="s">
        <v>1085</v>
      </c>
      <c r="B233" s="6" t="s">
        <v>1070</v>
      </c>
      <c r="C233" s="6" t="s">
        <v>1070</v>
      </c>
      <c r="D233" s="6" t="s">
        <v>22</v>
      </c>
      <c r="E233" s="6"/>
      <c r="F233" s="7" t="s">
        <v>1086</v>
      </c>
      <c r="G233" s="7" t="s">
        <v>24</v>
      </c>
      <c r="H233" s="5" t="n">
        <v>4</v>
      </c>
      <c r="I233" s="6"/>
      <c r="J233" s="5" t="n">
        <v>28</v>
      </c>
      <c r="K233" s="6" t="s">
        <v>1087</v>
      </c>
      <c r="L233" s="6" t="s">
        <v>1088</v>
      </c>
      <c r="M233" s="6"/>
      <c r="N233" s="6"/>
      <c r="O233" s="6" t="s">
        <v>1089</v>
      </c>
      <c r="P233" s="6"/>
    </row>
    <row r="234" customFormat="false" ht="27.75" hidden="false" customHeight="true" outlineLevel="0" collapsed="false">
      <c r="A234" s="5" t="n">
        <v>306</v>
      </c>
      <c r="B234" s="6" t="s">
        <v>1070</v>
      </c>
      <c r="C234" s="6" t="s">
        <v>1070</v>
      </c>
      <c r="D234" s="6" t="s">
        <v>22</v>
      </c>
      <c r="E234" s="6"/>
      <c r="F234" s="7" t="s">
        <v>1090</v>
      </c>
      <c r="G234" s="7" t="s">
        <v>395</v>
      </c>
      <c r="H234" s="5" t="n">
        <v>1</v>
      </c>
      <c r="I234" s="6"/>
      <c r="J234" s="5" t="n">
        <v>21</v>
      </c>
      <c r="K234" s="6" t="s">
        <v>1091</v>
      </c>
      <c r="L234" s="6" t="s">
        <v>1092</v>
      </c>
      <c r="M234" s="6"/>
      <c r="N234" s="6"/>
      <c r="O234" s="6" t="s">
        <v>1093</v>
      </c>
      <c r="P234" s="6"/>
    </row>
    <row r="235" customFormat="false" ht="39" hidden="false" customHeight="true" outlineLevel="0" collapsed="false">
      <c r="A235" s="5" t="n">
        <v>258</v>
      </c>
      <c r="B235" s="6" t="s">
        <v>1070</v>
      </c>
      <c r="C235" s="6" t="s">
        <v>1070</v>
      </c>
      <c r="D235" s="6" t="s">
        <v>22</v>
      </c>
      <c r="E235" s="6"/>
      <c r="F235" s="7" t="s">
        <v>1094</v>
      </c>
      <c r="G235" s="7" t="s">
        <v>50</v>
      </c>
      <c r="H235" s="5"/>
      <c r="I235" s="6"/>
      <c r="J235" s="5" t="n">
        <v>28</v>
      </c>
      <c r="K235" s="6" t="s">
        <v>51</v>
      </c>
      <c r="L235" s="6"/>
      <c r="M235" s="6" t="s">
        <v>681</v>
      </c>
      <c r="N235" s="6"/>
      <c r="O235" s="6" t="s">
        <v>1095</v>
      </c>
      <c r="P235" s="6"/>
    </row>
    <row r="236" customFormat="false" ht="39" hidden="false" customHeight="true" outlineLevel="0" collapsed="false">
      <c r="A236" s="5" t="n">
        <v>53</v>
      </c>
      <c r="B236" s="6" t="s">
        <v>1070</v>
      </c>
      <c r="C236" s="6" t="s">
        <v>1070</v>
      </c>
      <c r="D236" s="6" t="s">
        <v>22</v>
      </c>
      <c r="E236" s="6"/>
      <c r="F236" s="7" t="s">
        <v>1096</v>
      </c>
      <c r="G236" s="7" t="s">
        <v>31</v>
      </c>
      <c r="H236" s="5" t="n">
        <v>3</v>
      </c>
      <c r="I236" s="6"/>
      <c r="J236" s="5" t="n">
        <v>21</v>
      </c>
      <c r="K236" s="6" t="s">
        <v>87</v>
      </c>
      <c r="L236" s="6" t="s">
        <v>1097</v>
      </c>
      <c r="M236" s="6" t="s">
        <v>1098</v>
      </c>
      <c r="N236" s="6"/>
      <c r="O236" s="6" t="s">
        <v>1099</v>
      </c>
      <c r="P236" s="6"/>
    </row>
    <row r="237" customFormat="false" ht="39" hidden="false" customHeight="true" outlineLevel="0" collapsed="false">
      <c r="A237" s="5" t="n">
        <v>259</v>
      </c>
      <c r="B237" s="6" t="s">
        <v>1070</v>
      </c>
      <c r="C237" s="6" t="s">
        <v>1070</v>
      </c>
      <c r="D237" s="6" t="s">
        <v>22</v>
      </c>
      <c r="E237" s="6"/>
      <c r="F237" s="7" t="s">
        <v>1100</v>
      </c>
      <c r="G237" s="7" t="s">
        <v>50</v>
      </c>
      <c r="H237" s="5"/>
      <c r="I237" s="6"/>
      <c r="J237" s="5" t="n">
        <v>21</v>
      </c>
      <c r="K237" s="6" t="s">
        <v>51</v>
      </c>
      <c r="L237" s="6"/>
      <c r="M237" s="6" t="s">
        <v>1098</v>
      </c>
      <c r="N237" s="6"/>
      <c r="O237" s="6" t="s">
        <v>1101</v>
      </c>
      <c r="P237" s="6" t="s">
        <v>1102</v>
      </c>
    </row>
    <row r="238" customFormat="false" ht="118.5" hidden="false" customHeight="true" outlineLevel="0" collapsed="false">
      <c r="A238" s="5" t="n">
        <v>170</v>
      </c>
      <c r="B238" s="6" t="s">
        <v>1103</v>
      </c>
      <c r="C238" s="6" t="s">
        <v>1104</v>
      </c>
      <c r="D238" s="6" t="s">
        <v>568</v>
      </c>
      <c r="E238" s="6"/>
      <c r="F238" s="7" t="s">
        <v>1105</v>
      </c>
      <c r="G238" s="7" t="s">
        <v>31</v>
      </c>
      <c r="H238" s="5" t="n">
        <v>2</v>
      </c>
      <c r="I238" s="6"/>
      <c r="J238" s="5" t="n">
        <v>21</v>
      </c>
      <c r="K238" s="6" t="s">
        <v>1106</v>
      </c>
      <c r="L238" s="6" t="s">
        <v>1107</v>
      </c>
      <c r="M238" s="6" t="s">
        <v>1058</v>
      </c>
      <c r="N238" s="6" t="s">
        <v>1059</v>
      </c>
      <c r="O238" s="6" t="s">
        <v>1108</v>
      </c>
      <c r="P238" s="6" t="s">
        <v>1109</v>
      </c>
    </row>
    <row r="239" customFormat="false" ht="96" hidden="false" customHeight="true" outlineLevel="0" collapsed="false">
      <c r="A239" s="5" t="n">
        <v>291</v>
      </c>
      <c r="B239" s="6" t="s">
        <v>1103</v>
      </c>
      <c r="C239" s="6" t="s">
        <v>1104</v>
      </c>
      <c r="D239" s="6" t="s">
        <v>568</v>
      </c>
      <c r="E239" s="6"/>
      <c r="F239" s="7" t="s">
        <v>1110</v>
      </c>
      <c r="G239" s="7" t="s">
        <v>31</v>
      </c>
      <c r="H239" s="5" t="n">
        <v>2</v>
      </c>
      <c r="I239" s="6"/>
      <c r="J239" s="5" t="n">
        <v>21</v>
      </c>
      <c r="K239" s="6" t="s">
        <v>1111</v>
      </c>
      <c r="L239" s="6" t="s">
        <v>1063</v>
      </c>
      <c r="M239" s="6" t="s">
        <v>1058</v>
      </c>
      <c r="N239" s="6" t="s">
        <v>1064</v>
      </c>
      <c r="O239" s="6" t="s">
        <v>1065</v>
      </c>
      <c r="P239" s="6" t="s">
        <v>1109</v>
      </c>
    </row>
    <row r="240" customFormat="false" ht="175.5" hidden="false" customHeight="true" outlineLevel="0" collapsed="false">
      <c r="A240" s="5" t="n">
        <v>217</v>
      </c>
      <c r="B240" s="6" t="s">
        <v>1103</v>
      </c>
      <c r="C240" s="6" t="s">
        <v>1104</v>
      </c>
      <c r="D240" s="6" t="s">
        <v>568</v>
      </c>
      <c r="E240" s="6"/>
      <c r="F240" s="7" t="s">
        <v>1112</v>
      </c>
      <c r="G240" s="7" t="s">
        <v>331</v>
      </c>
      <c r="H240" s="5" t="n">
        <v>1</v>
      </c>
      <c r="I240" s="6"/>
      <c r="J240" s="5" t="n">
        <v>35</v>
      </c>
      <c r="K240" s="6" t="s">
        <v>1113</v>
      </c>
      <c r="L240" s="6" t="s">
        <v>1114</v>
      </c>
      <c r="M240" s="6" t="s">
        <v>1115</v>
      </c>
      <c r="N240" s="6" t="s">
        <v>1064</v>
      </c>
      <c r="O240" s="6" t="s">
        <v>1116</v>
      </c>
      <c r="P240" s="6" t="s">
        <v>1109</v>
      </c>
    </row>
    <row r="241" customFormat="false" ht="50.25" hidden="false" customHeight="true" outlineLevel="0" collapsed="false">
      <c r="A241" s="5" t="n">
        <v>219</v>
      </c>
      <c r="B241" s="6" t="s">
        <v>1103</v>
      </c>
      <c r="C241" s="6" t="s">
        <v>1104</v>
      </c>
      <c r="D241" s="6" t="s">
        <v>584</v>
      </c>
      <c r="E241" s="6"/>
      <c r="F241" s="7" t="s">
        <v>1117</v>
      </c>
      <c r="G241" s="7" t="s">
        <v>31</v>
      </c>
      <c r="H241" s="5" t="n">
        <v>3</v>
      </c>
      <c r="I241" s="6"/>
      <c r="J241" s="5" t="n">
        <v>21</v>
      </c>
      <c r="K241" s="6" t="s">
        <v>1118</v>
      </c>
      <c r="L241" s="6" t="s">
        <v>1119</v>
      </c>
      <c r="M241" s="6"/>
      <c r="N241" s="6" t="s">
        <v>1120</v>
      </c>
      <c r="O241" s="6" t="s">
        <v>1121</v>
      </c>
      <c r="P241" s="6"/>
    </row>
    <row r="242" customFormat="false" ht="84.75" hidden="false" customHeight="true" outlineLevel="0" collapsed="false">
      <c r="A242" s="5" t="n">
        <v>218</v>
      </c>
      <c r="B242" s="6" t="s">
        <v>1103</v>
      </c>
      <c r="C242" s="6" t="s">
        <v>1104</v>
      </c>
      <c r="D242" s="6" t="s">
        <v>584</v>
      </c>
      <c r="E242" s="6"/>
      <c r="F242" s="7" t="s">
        <v>1122</v>
      </c>
      <c r="G242" s="7" t="s">
        <v>31</v>
      </c>
      <c r="H242" s="5" t="n">
        <v>3</v>
      </c>
      <c r="I242" s="6"/>
      <c r="J242" s="5" t="n">
        <v>21</v>
      </c>
      <c r="K242" s="6" t="s">
        <v>1123</v>
      </c>
      <c r="L242" s="6" t="s">
        <v>1124</v>
      </c>
      <c r="M242" s="6" t="s">
        <v>1125</v>
      </c>
      <c r="N242" s="6" t="s">
        <v>1120</v>
      </c>
      <c r="O242" s="6" t="s">
        <v>1126</v>
      </c>
      <c r="P242" s="6" t="s">
        <v>1127</v>
      </c>
    </row>
    <row r="243" customFormat="false" ht="50.25" hidden="false" customHeight="true" outlineLevel="0" collapsed="false">
      <c r="A243" s="5" t="n">
        <v>220</v>
      </c>
      <c r="B243" s="6" t="s">
        <v>1103</v>
      </c>
      <c r="C243" s="6" t="s">
        <v>1128</v>
      </c>
      <c r="D243" s="6" t="s">
        <v>664</v>
      </c>
      <c r="E243" s="6"/>
      <c r="F243" s="7" t="s">
        <v>1129</v>
      </c>
      <c r="G243" s="7" t="s">
        <v>31</v>
      </c>
      <c r="H243" s="5" t="n">
        <v>2</v>
      </c>
      <c r="I243" s="6"/>
      <c r="J243" s="5" t="n">
        <v>42</v>
      </c>
      <c r="K243" s="6" t="s">
        <v>1130</v>
      </c>
      <c r="L243" s="6" t="s">
        <v>1131</v>
      </c>
      <c r="M243" s="6" t="s">
        <v>1132</v>
      </c>
      <c r="N243" s="6" t="s">
        <v>1133</v>
      </c>
      <c r="O243" s="6" t="s">
        <v>1134</v>
      </c>
      <c r="P243" s="6"/>
    </row>
    <row r="244" customFormat="false" ht="50.25" hidden="false" customHeight="true" outlineLevel="0" collapsed="false">
      <c r="A244" s="5" t="n">
        <v>221</v>
      </c>
      <c r="B244" s="6" t="s">
        <v>1103</v>
      </c>
      <c r="C244" s="6" t="s">
        <v>1128</v>
      </c>
      <c r="D244" s="6" t="s">
        <v>584</v>
      </c>
      <c r="E244" s="6"/>
      <c r="F244" s="7" t="s">
        <v>1135</v>
      </c>
      <c r="G244" s="7" t="s">
        <v>31</v>
      </c>
      <c r="H244" s="5" t="n">
        <v>3</v>
      </c>
      <c r="I244" s="6"/>
      <c r="J244" s="5" t="n">
        <v>21</v>
      </c>
      <c r="K244" s="6" t="s">
        <v>1136</v>
      </c>
      <c r="L244" s="6" t="s">
        <v>1137</v>
      </c>
      <c r="M244" s="6" t="s">
        <v>412</v>
      </c>
      <c r="N244" s="6" t="s">
        <v>166</v>
      </c>
      <c r="O244" s="6" t="s">
        <v>1138</v>
      </c>
      <c r="P244" s="6"/>
    </row>
    <row r="245" customFormat="false" ht="50.25" hidden="false" customHeight="true" outlineLevel="0" collapsed="false">
      <c r="A245" s="5" t="n">
        <v>222</v>
      </c>
      <c r="B245" s="6" t="s">
        <v>1103</v>
      </c>
      <c r="C245" s="6" t="s">
        <v>1128</v>
      </c>
      <c r="D245" s="6" t="s">
        <v>584</v>
      </c>
      <c r="E245" s="6"/>
      <c r="F245" s="7" t="s">
        <v>1139</v>
      </c>
      <c r="G245" s="7" t="s">
        <v>31</v>
      </c>
      <c r="H245" s="5" t="n">
        <v>3</v>
      </c>
      <c r="I245" s="6"/>
      <c r="J245" s="5" t="n">
        <v>21</v>
      </c>
      <c r="K245" s="6" t="s">
        <v>250</v>
      </c>
      <c r="L245" s="6" t="s">
        <v>1119</v>
      </c>
      <c r="M245" s="6" t="s">
        <v>624</v>
      </c>
      <c r="N245" s="6" t="s">
        <v>1120</v>
      </c>
      <c r="O245" s="6" t="s">
        <v>1140</v>
      </c>
      <c r="P245" s="6"/>
    </row>
    <row r="246" customFormat="false" ht="96" hidden="false" customHeight="true" outlineLevel="0" collapsed="false">
      <c r="A246" s="5" t="n">
        <v>211</v>
      </c>
      <c r="B246" s="6" t="s">
        <v>1103</v>
      </c>
      <c r="C246" s="6" t="s">
        <v>1141</v>
      </c>
      <c r="D246" s="6" t="s">
        <v>1142</v>
      </c>
      <c r="E246" s="6"/>
      <c r="F246" s="7" t="s">
        <v>1143</v>
      </c>
      <c r="G246" s="7" t="s">
        <v>31</v>
      </c>
      <c r="H246" s="5" t="n">
        <v>2</v>
      </c>
      <c r="I246" s="6"/>
      <c r="J246" s="5" t="n">
        <v>21</v>
      </c>
      <c r="K246" s="6" t="s">
        <v>1144</v>
      </c>
      <c r="L246" s="6" t="s">
        <v>1145</v>
      </c>
      <c r="M246" s="6" t="s">
        <v>1132</v>
      </c>
      <c r="N246" s="6" t="s">
        <v>1120</v>
      </c>
      <c r="O246" s="6" t="s">
        <v>1146</v>
      </c>
      <c r="P246" s="6"/>
    </row>
    <row r="247" customFormat="false" ht="141.75" hidden="false" customHeight="true" outlineLevel="0" collapsed="false">
      <c r="A247" s="5" t="s">
        <v>1147</v>
      </c>
      <c r="B247" s="6" t="s">
        <v>1103</v>
      </c>
      <c r="C247" s="6" t="s">
        <v>1141</v>
      </c>
      <c r="D247" s="6" t="s">
        <v>1142</v>
      </c>
      <c r="E247" s="6"/>
      <c r="F247" s="7" t="s">
        <v>1148</v>
      </c>
      <c r="G247" s="7" t="s">
        <v>24</v>
      </c>
      <c r="H247" s="5" t="n">
        <v>3</v>
      </c>
      <c r="I247" s="6"/>
      <c r="J247" s="5" t="n">
        <v>21</v>
      </c>
      <c r="K247" s="6" t="s">
        <v>1149</v>
      </c>
      <c r="L247" s="6" t="s">
        <v>1150</v>
      </c>
      <c r="M247" s="6" t="s">
        <v>633</v>
      </c>
      <c r="N247" s="6" t="s">
        <v>1151</v>
      </c>
      <c r="O247" s="6" t="s">
        <v>1152</v>
      </c>
      <c r="P247" s="6"/>
    </row>
    <row r="248" customFormat="false" ht="72.75" hidden="false" customHeight="true" outlineLevel="0" collapsed="false">
      <c r="A248" s="5" t="n">
        <v>212</v>
      </c>
      <c r="B248" s="6" t="s">
        <v>1103</v>
      </c>
      <c r="C248" s="6" t="s">
        <v>1141</v>
      </c>
      <c r="D248" s="6" t="s">
        <v>1142</v>
      </c>
      <c r="E248" s="6"/>
      <c r="F248" s="7" t="s">
        <v>1153</v>
      </c>
      <c r="G248" s="7" t="s">
        <v>31</v>
      </c>
      <c r="H248" s="5" t="n">
        <v>2</v>
      </c>
      <c r="I248" s="6"/>
      <c r="J248" s="5" t="n">
        <v>21</v>
      </c>
      <c r="K248" s="6" t="s">
        <v>1154</v>
      </c>
      <c r="L248" s="6" t="s">
        <v>1155</v>
      </c>
      <c r="M248" s="6" t="s">
        <v>602</v>
      </c>
      <c r="N248" s="6" t="s">
        <v>1059</v>
      </c>
      <c r="O248" s="6" t="s">
        <v>1156</v>
      </c>
      <c r="P248" s="6"/>
    </row>
    <row r="249" customFormat="false" ht="118.5" hidden="false" customHeight="true" outlineLevel="0" collapsed="false">
      <c r="A249" s="5" t="s">
        <v>1157</v>
      </c>
      <c r="B249" s="6" t="s">
        <v>1103</v>
      </c>
      <c r="C249" s="6" t="s">
        <v>1141</v>
      </c>
      <c r="D249" s="6" t="s">
        <v>1142</v>
      </c>
      <c r="E249" s="6"/>
      <c r="F249" s="7" t="s">
        <v>1158</v>
      </c>
      <c r="G249" s="7" t="s">
        <v>24</v>
      </c>
      <c r="H249" s="5" t="n">
        <v>4</v>
      </c>
      <c r="I249" s="6"/>
      <c r="J249" s="5" t="n">
        <v>28</v>
      </c>
      <c r="K249" s="6" t="s">
        <v>1159</v>
      </c>
      <c r="L249" s="6" t="s">
        <v>1160</v>
      </c>
      <c r="M249" s="6" t="s">
        <v>301</v>
      </c>
      <c r="N249" s="6" t="s">
        <v>368</v>
      </c>
      <c r="O249" s="6" t="s">
        <v>1161</v>
      </c>
      <c r="P249" s="6"/>
    </row>
    <row r="250" customFormat="false" ht="72.75" hidden="false" customHeight="true" outlineLevel="0" collapsed="false">
      <c r="A250" s="5" t="n">
        <v>213</v>
      </c>
      <c r="B250" s="6" t="s">
        <v>1103</v>
      </c>
      <c r="C250" s="6" t="s">
        <v>1141</v>
      </c>
      <c r="D250" s="6" t="s">
        <v>1142</v>
      </c>
      <c r="E250" s="6"/>
      <c r="F250" s="7" t="s">
        <v>1162</v>
      </c>
      <c r="G250" s="7" t="s">
        <v>31</v>
      </c>
      <c r="H250" s="5" t="n">
        <v>2</v>
      </c>
      <c r="I250" s="6"/>
      <c r="J250" s="5" t="n">
        <v>21</v>
      </c>
      <c r="K250" s="6" t="s">
        <v>1163</v>
      </c>
      <c r="L250" s="6" t="s">
        <v>1164</v>
      </c>
      <c r="M250" s="6" t="s">
        <v>1165</v>
      </c>
      <c r="N250" s="6" t="s">
        <v>408</v>
      </c>
      <c r="O250" s="6" t="s">
        <v>1166</v>
      </c>
      <c r="P250" s="6" t="s">
        <v>1167</v>
      </c>
    </row>
    <row r="251" customFormat="false" ht="27.75" hidden="false" customHeight="true" outlineLevel="0" collapsed="false">
      <c r="A251" s="5" t="n">
        <v>216</v>
      </c>
      <c r="B251" s="6" t="s">
        <v>1103</v>
      </c>
      <c r="C251" s="6" t="s">
        <v>1141</v>
      </c>
      <c r="D251" s="6" t="s">
        <v>1142</v>
      </c>
      <c r="E251" s="6"/>
      <c r="F251" s="7" t="s">
        <v>1168</v>
      </c>
      <c r="G251" s="7" t="s">
        <v>50</v>
      </c>
      <c r="H251" s="5"/>
      <c r="I251" s="6"/>
      <c r="J251" s="5" t="n">
        <v>28</v>
      </c>
      <c r="K251" s="6" t="s">
        <v>51</v>
      </c>
      <c r="L251" s="6"/>
      <c r="M251" s="6"/>
      <c r="N251" s="6"/>
      <c r="O251" s="6" t="s">
        <v>1169</v>
      </c>
      <c r="P251" s="6"/>
    </row>
    <row r="252" customFormat="false" ht="61.5" hidden="false" customHeight="true" outlineLevel="0" collapsed="false">
      <c r="A252" s="5" t="n">
        <v>101</v>
      </c>
      <c r="B252" s="6" t="s">
        <v>1103</v>
      </c>
      <c r="C252" s="6" t="s">
        <v>1141</v>
      </c>
      <c r="D252" s="6" t="s">
        <v>1142</v>
      </c>
      <c r="E252" s="6"/>
      <c r="F252" s="7" t="s">
        <v>1170</v>
      </c>
      <c r="G252" s="7" t="s">
        <v>31</v>
      </c>
      <c r="H252" s="5" t="n">
        <v>3</v>
      </c>
      <c r="I252" s="6"/>
      <c r="J252" s="5" t="n">
        <v>21</v>
      </c>
      <c r="K252" s="6" t="s">
        <v>1171</v>
      </c>
      <c r="L252" s="6" t="s">
        <v>1172</v>
      </c>
      <c r="M252" s="6" t="s">
        <v>61</v>
      </c>
      <c r="N252" s="6"/>
      <c r="O252" s="6" t="s">
        <v>1173</v>
      </c>
      <c r="P252" s="6"/>
    </row>
    <row r="253" customFormat="false" ht="27.75" hidden="false" customHeight="true" outlineLevel="0" collapsed="false">
      <c r="A253" s="5" t="n">
        <v>215</v>
      </c>
      <c r="B253" s="6" t="s">
        <v>1103</v>
      </c>
      <c r="C253" s="6" t="s">
        <v>1141</v>
      </c>
      <c r="D253" s="6" t="s">
        <v>1142</v>
      </c>
      <c r="E253" s="6"/>
      <c r="F253" s="7" t="s">
        <v>1174</v>
      </c>
      <c r="G253" s="7" t="s">
        <v>50</v>
      </c>
      <c r="H253" s="5"/>
      <c r="I253" s="6"/>
      <c r="J253" s="5" t="n">
        <v>28</v>
      </c>
      <c r="K253" s="6" t="s">
        <v>51</v>
      </c>
      <c r="L253" s="6"/>
      <c r="M253" s="6"/>
      <c r="N253" s="6"/>
      <c r="O253" s="6" t="s">
        <v>1175</v>
      </c>
      <c r="P253" s="6" t="s">
        <v>56</v>
      </c>
    </row>
    <row r="254" customFormat="false" ht="50.25" hidden="false" customHeight="true" outlineLevel="0" collapsed="false">
      <c r="A254" s="5" t="n">
        <v>214</v>
      </c>
      <c r="B254" s="6" t="s">
        <v>1103</v>
      </c>
      <c r="C254" s="6" t="s">
        <v>1141</v>
      </c>
      <c r="D254" s="6" t="s">
        <v>1142</v>
      </c>
      <c r="E254" s="6"/>
      <c r="F254" s="7" t="s">
        <v>1176</v>
      </c>
      <c r="G254" s="7" t="s">
        <v>31</v>
      </c>
      <c r="H254" s="5" t="n">
        <v>2</v>
      </c>
      <c r="I254" s="6"/>
      <c r="J254" s="5" t="n">
        <v>21</v>
      </c>
      <c r="K254" s="6" t="s">
        <v>1177</v>
      </c>
      <c r="L254" s="6" t="s">
        <v>1178</v>
      </c>
      <c r="M254" s="6" t="s">
        <v>1179</v>
      </c>
      <c r="N254" s="6" t="s">
        <v>454</v>
      </c>
      <c r="O254" s="6" t="s">
        <v>1180</v>
      </c>
      <c r="P254" s="6" t="s">
        <v>1181</v>
      </c>
    </row>
    <row r="255" customFormat="false" ht="72.75" hidden="false" customHeight="true" outlineLevel="0" collapsed="false">
      <c r="A255" s="5" t="n">
        <v>210</v>
      </c>
      <c r="B255" s="6" t="s">
        <v>1103</v>
      </c>
      <c r="C255" s="6" t="s">
        <v>1141</v>
      </c>
      <c r="D255" s="6" t="s">
        <v>568</v>
      </c>
      <c r="E255" s="6"/>
      <c r="F255" s="7" t="s">
        <v>1182</v>
      </c>
      <c r="G255" s="7" t="s">
        <v>31</v>
      </c>
      <c r="H255" s="5" t="n">
        <v>3</v>
      </c>
      <c r="I255" s="6"/>
      <c r="J255" s="5" t="n">
        <v>21</v>
      </c>
      <c r="K255" s="6" t="s">
        <v>1123</v>
      </c>
      <c r="L255" s="6" t="s">
        <v>1183</v>
      </c>
      <c r="M255" s="6" t="s">
        <v>1132</v>
      </c>
      <c r="N255" s="6" t="s">
        <v>1120</v>
      </c>
      <c r="O255" s="6" t="s">
        <v>1184</v>
      </c>
      <c r="P255" s="6" t="s">
        <v>1185</v>
      </c>
    </row>
    <row r="256" customFormat="false" ht="72.75" hidden="false" customHeight="true" outlineLevel="0" collapsed="false">
      <c r="A256" s="5" t="n">
        <v>209</v>
      </c>
      <c r="B256" s="6" t="s">
        <v>1103</v>
      </c>
      <c r="C256" s="6" t="s">
        <v>1141</v>
      </c>
      <c r="D256" s="6" t="s">
        <v>568</v>
      </c>
      <c r="E256" s="6"/>
      <c r="F256" s="7" t="s">
        <v>1186</v>
      </c>
      <c r="G256" s="7" t="s">
        <v>31</v>
      </c>
      <c r="H256" s="5" t="n">
        <v>3</v>
      </c>
      <c r="I256" s="6"/>
      <c r="J256" s="5" t="n">
        <v>21</v>
      </c>
      <c r="K256" s="6" t="s">
        <v>1123</v>
      </c>
      <c r="L256" s="6" t="s">
        <v>1187</v>
      </c>
      <c r="M256" s="6" t="s">
        <v>602</v>
      </c>
      <c r="N256" s="6" t="s">
        <v>1120</v>
      </c>
      <c r="O256" s="6" t="s">
        <v>1188</v>
      </c>
      <c r="P256" s="6" t="s">
        <v>1189</v>
      </c>
    </row>
    <row r="257" customFormat="false" ht="72.75" hidden="false" customHeight="true" outlineLevel="0" collapsed="false">
      <c r="A257" s="5" t="s">
        <v>1190</v>
      </c>
      <c r="B257" s="6" t="s">
        <v>1103</v>
      </c>
      <c r="C257" s="6" t="s">
        <v>1191</v>
      </c>
      <c r="D257" s="6" t="s">
        <v>1192</v>
      </c>
      <c r="E257" s="6"/>
      <c r="F257" s="7" t="s">
        <v>1193</v>
      </c>
      <c r="G257" s="7" t="s">
        <v>24</v>
      </c>
      <c r="H257" s="5" t="n">
        <v>4</v>
      </c>
      <c r="I257" s="6"/>
      <c r="J257" s="5" t="n">
        <v>28</v>
      </c>
      <c r="K257" s="6" t="s">
        <v>1194</v>
      </c>
      <c r="L257" s="6" t="s">
        <v>1195</v>
      </c>
      <c r="M257" s="6" t="s">
        <v>1196</v>
      </c>
      <c r="N257" s="6"/>
      <c r="O257" s="6" t="s">
        <v>1197</v>
      </c>
      <c r="P257" s="6"/>
    </row>
    <row r="258" customFormat="false" ht="61.5" hidden="false" customHeight="true" outlineLevel="0" collapsed="false">
      <c r="A258" s="5" t="s">
        <v>1198</v>
      </c>
      <c r="B258" s="6" t="s">
        <v>1103</v>
      </c>
      <c r="C258" s="6" t="s">
        <v>1199</v>
      </c>
      <c r="D258" s="6" t="s">
        <v>1200</v>
      </c>
      <c r="E258" s="6"/>
      <c r="F258" s="7" t="s">
        <v>1201</v>
      </c>
      <c r="G258" s="7" t="s">
        <v>24</v>
      </c>
      <c r="H258" s="5" t="n">
        <v>4</v>
      </c>
      <c r="I258" s="6"/>
      <c r="J258" s="5" t="n">
        <v>28</v>
      </c>
      <c r="K258" s="6" t="s">
        <v>1202</v>
      </c>
      <c r="L258" s="6" t="s">
        <v>1203</v>
      </c>
      <c r="M258" s="6"/>
      <c r="N258" s="6"/>
      <c r="O258" s="6" t="s">
        <v>1204</v>
      </c>
      <c r="P258" s="6"/>
    </row>
    <row r="259" customFormat="false" ht="61.5" hidden="false" customHeight="true" outlineLevel="0" collapsed="false">
      <c r="A259" s="5" t="s">
        <v>1205</v>
      </c>
      <c r="B259" s="6" t="s">
        <v>1103</v>
      </c>
      <c r="C259" s="6" t="s">
        <v>1199</v>
      </c>
      <c r="D259" s="6" t="s">
        <v>1200</v>
      </c>
      <c r="E259" s="6"/>
      <c r="F259" s="7" t="s">
        <v>1206</v>
      </c>
      <c r="G259" s="7" t="s">
        <v>24</v>
      </c>
      <c r="H259" s="5" t="n">
        <v>4</v>
      </c>
      <c r="I259" s="6"/>
      <c r="J259" s="5" t="n">
        <v>28</v>
      </c>
      <c r="K259" s="6" t="s">
        <v>1207</v>
      </c>
      <c r="L259" s="6" t="s">
        <v>1208</v>
      </c>
      <c r="M259" s="6"/>
      <c r="N259" s="6"/>
      <c r="O259" s="6" t="s">
        <v>1209</v>
      </c>
      <c r="P259" s="6"/>
    </row>
    <row r="260" customFormat="false" ht="96" hidden="false" customHeight="true" outlineLevel="0" collapsed="false">
      <c r="A260" s="5" t="n">
        <v>59</v>
      </c>
      <c r="B260" s="6" t="s">
        <v>1210</v>
      </c>
      <c r="C260" s="6" t="s">
        <v>1210</v>
      </c>
      <c r="D260" s="6" t="s">
        <v>1211</v>
      </c>
      <c r="E260" s="6" t="s">
        <v>1212</v>
      </c>
      <c r="F260" s="7" t="s">
        <v>1213</v>
      </c>
      <c r="G260" s="7" t="s">
        <v>31</v>
      </c>
      <c r="H260" s="5" t="n">
        <v>2</v>
      </c>
      <c r="I260" s="6"/>
      <c r="J260" s="5" t="n">
        <v>21</v>
      </c>
      <c r="K260" s="6" t="s">
        <v>1214</v>
      </c>
      <c r="L260" s="6" t="s">
        <v>1215</v>
      </c>
      <c r="M260" s="6" t="s">
        <v>1216</v>
      </c>
      <c r="N260" s="6" t="s">
        <v>408</v>
      </c>
      <c r="O260" s="6" t="s">
        <v>1217</v>
      </c>
      <c r="P260" s="6"/>
    </row>
    <row r="261" customFormat="false" ht="84.75" hidden="false" customHeight="true" outlineLevel="0" collapsed="false">
      <c r="A261" s="5" t="s">
        <v>1218</v>
      </c>
      <c r="B261" s="6" t="s">
        <v>1210</v>
      </c>
      <c r="C261" s="6" t="s">
        <v>1210</v>
      </c>
      <c r="D261" s="6" t="s">
        <v>1211</v>
      </c>
      <c r="E261" s="6" t="s">
        <v>1212</v>
      </c>
      <c r="F261" s="7" t="s">
        <v>1219</v>
      </c>
      <c r="G261" s="7" t="s">
        <v>24</v>
      </c>
      <c r="H261" s="5" t="n">
        <v>4</v>
      </c>
      <c r="I261" s="6"/>
      <c r="J261" s="5" t="n">
        <v>28</v>
      </c>
      <c r="K261" s="6" t="s">
        <v>1220</v>
      </c>
      <c r="L261" s="6" t="s">
        <v>1221</v>
      </c>
      <c r="M261" s="6"/>
      <c r="N261" s="6"/>
      <c r="O261" s="6" t="s">
        <v>1222</v>
      </c>
      <c r="P261" s="6"/>
    </row>
    <row r="262" customFormat="false" ht="153" hidden="false" customHeight="true" outlineLevel="0" collapsed="false">
      <c r="A262" s="5" t="s">
        <v>1223</v>
      </c>
      <c r="B262" s="6" t="s">
        <v>1210</v>
      </c>
      <c r="C262" s="6" t="s">
        <v>1210</v>
      </c>
      <c r="D262" s="6" t="s">
        <v>1211</v>
      </c>
      <c r="E262" s="6" t="s">
        <v>1212</v>
      </c>
      <c r="F262" s="7" t="s">
        <v>1224</v>
      </c>
      <c r="G262" s="7" t="s">
        <v>24</v>
      </c>
      <c r="H262" s="5" t="n">
        <v>3</v>
      </c>
      <c r="I262" s="6"/>
      <c r="J262" s="5" t="n">
        <v>21</v>
      </c>
      <c r="K262" s="6" t="s">
        <v>1225</v>
      </c>
      <c r="L262" s="6" t="s">
        <v>1226</v>
      </c>
      <c r="M262" s="6" t="s">
        <v>1227</v>
      </c>
      <c r="N262" s="6"/>
      <c r="O262" s="6" t="s">
        <v>1228</v>
      </c>
      <c r="P262" s="6" t="s">
        <v>1229</v>
      </c>
    </row>
    <row r="263" customFormat="false" ht="72.75" hidden="false" customHeight="true" outlineLevel="0" collapsed="false">
      <c r="A263" s="5" t="n">
        <v>60</v>
      </c>
      <c r="B263" s="6" t="s">
        <v>1210</v>
      </c>
      <c r="C263" s="6" t="s">
        <v>1210</v>
      </c>
      <c r="D263" s="6" t="s">
        <v>1211</v>
      </c>
      <c r="E263" s="6" t="s">
        <v>1212</v>
      </c>
      <c r="F263" s="7" t="s">
        <v>1230</v>
      </c>
      <c r="G263" s="7" t="s">
        <v>31</v>
      </c>
      <c r="H263" s="5" t="n">
        <v>2</v>
      </c>
      <c r="I263" s="6"/>
      <c r="J263" s="5" t="n">
        <v>21</v>
      </c>
      <c r="K263" s="6" t="s">
        <v>422</v>
      </c>
      <c r="L263" s="6" t="s">
        <v>423</v>
      </c>
      <c r="M263" s="6" t="s">
        <v>1227</v>
      </c>
      <c r="N263" s="6"/>
      <c r="O263" s="6" t="s">
        <v>1228</v>
      </c>
      <c r="P263" s="6"/>
    </row>
    <row r="264" customFormat="false" ht="39" hidden="false" customHeight="true" outlineLevel="0" collapsed="false">
      <c r="A264" s="5" t="n">
        <v>50</v>
      </c>
      <c r="B264" s="6" t="s">
        <v>1210</v>
      </c>
      <c r="C264" s="6" t="s">
        <v>1210</v>
      </c>
      <c r="D264" s="6" t="s">
        <v>1211</v>
      </c>
      <c r="E264" s="6" t="s">
        <v>1212</v>
      </c>
      <c r="F264" s="7" t="s">
        <v>1231</v>
      </c>
      <c r="G264" s="7" t="s">
        <v>31</v>
      </c>
      <c r="H264" s="5" t="n">
        <v>3</v>
      </c>
      <c r="I264" s="6"/>
      <c r="J264" s="5" t="n">
        <v>21</v>
      </c>
      <c r="K264" s="6" t="s">
        <v>37</v>
      </c>
      <c r="L264" s="6" t="s">
        <v>1232</v>
      </c>
      <c r="M264" s="6" t="s">
        <v>213</v>
      </c>
      <c r="N264" s="6"/>
      <c r="O264" s="6" t="s">
        <v>1233</v>
      </c>
      <c r="P264" s="6" t="s">
        <v>1234</v>
      </c>
    </row>
    <row r="265" customFormat="false" ht="164.25" hidden="false" customHeight="true" outlineLevel="0" collapsed="false">
      <c r="A265" s="5" t="s">
        <v>1235</v>
      </c>
      <c r="B265" s="6" t="s">
        <v>1210</v>
      </c>
      <c r="C265" s="6" t="s">
        <v>1210</v>
      </c>
      <c r="D265" s="6" t="s">
        <v>1211</v>
      </c>
      <c r="E265" s="6" t="s">
        <v>1212</v>
      </c>
      <c r="F265" s="7" t="s">
        <v>1236</v>
      </c>
      <c r="G265" s="7" t="s">
        <v>24</v>
      </c>
      <c r="H265" s="5" t="n">
        <v>2</v>
      </c>
      <c r="I265" s="6"/>
      <c r="J265" s="5" t="n">
        <v>21</v>
      </c>
      <c r="K265" s="6" t="s">
        <v>1237</v>
      </c>
      <c r="L265" s="6" t="s">
        <v>1238</v>
      </c>
      <c r="M265" s="6" t="s">
        <v>1239</v>
      </c>
      <c r="N265" s="6" t="s">
        <v>1240</v>
      </c>
      <c r="O265" s="6" t="s">
        <v>1241</v>
      </c>
      <c r="P265" s="6" t="s">
        <v>1229</v>
      </c>
    </row>
    <row r="266" customFormat="false" ht="27.75" hidden="false" customHeight="true" outlineLevel="0" collapsed="false">
      <c r="A266" s="5" t="n">
        <v>33</v>
      </c>
      <c r="B266" s="6" t="s">
        <v>1210</v>
      </c>
      <c r="C266" s="6" t="s">
        <v>1210</v>
      </c>
      <c r="D266" s="6" t="s">
        <v>1211</v>
      </c>
      <c r="E266" s="6" t="s">
        <v>1212</v>
      </c>
      <c r="F266" s="7" t="s">
        <v>1242</v>
      </c>
      <c r="G266" s="7" t="s">
        <v>31</v>
      </c>
      <c r="H266" s="5" t="n">
        <v>3</v>
      </c>
      <c r="I266" s="6"/>
      <c r="J266" s="5" t="n">
        <v>21</v>
      </c>
      <c r="K266" s="6" t="s">
        <v>87</v>
      </c>
      <c r="L266" s="6" t="s">
        <v>1243</v>
      </c>
      <c r="M266" s="6" t="s">
        <v>213</v>
      </c>
      <c r="N266" s="6"/>
      <c r="O266" s="6" t="s">
        <v>1244</v>
      </c>
      <c r="P266" s="6"/>
    </row>
    <row r="267" customFormat="false" ht="61.5" hidden="false" customHeight="true" outlineLevel="0" collapsed="false">
      <c r="A267" s="5" t="s">
        <v>1245</v>
      </c>
      <c r="B267" s="6" t="s">
        <v>1210</v>
      </c>
      <c r="C267" s="6" t="s">
        <v>1210</v>
      </c>
      <c r="D267" s="6" t="s">
        <v>1211</v>
      </c>
      <c r="E267" s="6" t="s">
        <v>1212</v>
      </c>
      <c r="F267" s="7" t="s">
        <v>1246</v>
      </c>
      <c r="G267" s="7" t="s">
        <v>24</v>
      </c>
      <c r="H267" s="5" t="n">
        <v>3</v>
      </c>
      <c r="I267" s="6"/>
      <c r="J267" s="5" t="n">
        <v>21</v>
      </c>
      <c r="K267" s="6" t="s">
        <v>1247</v>
      </c>
      <c r="L267" s="6" t="s">
        <v>1248</v>
      </c>
      <c r="M267" s="6" t="s">
        <v>213</v>
      </c>
      <c r="N267" s="6"/>
      <c r="O267" s="6" t="s">
        <v>1249</v>
      </c>
      <c r="P267" s="6" t="s">
        <v>1234</v>
      </c>
    </row>
    <row r="268" customFormat="false" ht="141.75" hidden="false" customHeight="true" outlineLevel="0" collapsed="false">
      <c r="A268" s="5" t="s">
        <v>1250</v>
      </c>
      <c r="B268" s="6" t="s">
        <v>1210</v>
      </c>
      <c r="C268" s="6" t="s">
        <v>1210</v>
      </c>
      <c r="D268" s="6" t="s">
        <v>1211</v>
      </c>
      <c r="E268" s="6" t="s">
        <v>1251</v>
      </c>
      <c r="F268" s="7" t="s">
        <v>1252</v>
      </c>
      <c r="G268" s="7" t="s">
        <v>24</v>
      </c>
      <c r="H268" s="5" t="n">
        <v>2</v>
      </c>
      <c r="I268" s="6"/>
      <c r="J268" s="5" t="n">
        <v>21</v>
      </c>
      <c r="K268" s="6" t="s">
        <v>1253</v>
      </c>
      <c r="L268" s="6" t="s">
        <v>1254</v>
      </c>
      <c r="M268" s="6" t="s">
        <v>602</v>
      </c>
      <c r="N268" s="6" t="s">
        <v>668</v>
      </c>
      <c r="O268" s="6" t="s">
        <v>1255</v>
      </c>
      <c r="P268" s="6" t="s">
        <v>1256</v>
      </c>
    </row>
    <row r="269" customFormat="false" ht="164.25" hidden="false" customHeight="true" outlineLevel="0" collapsed="false">
      <c r="A269" s="5" t="s">
        <v>1257</v>
      </c>
      <c r="B269" s="6" t="s">
        <v>1210</v>
      </c>
      <c r="C269" s="6" t="s">
        <v>1210</v>
      </c>
      <c r="D269" s="6" t="s">
        <v>1211</v>
      </c>
      <c r="E269" s="6" t="s">
        <v>1251</v>
      </c>
      <c r="F269" s="7" t="s">
        <v>1258</v>
      </c>
      <c r="G269" s="7" t="s">
        <v>24</v>
      </c>
      <c r="H269" s="5" t="n">
        <v>2</v>
      </c>
      <c r="I269" s="6"/>
      <c r="J269" s="5" t="n">
        <v>14</v>
      </c>
      <c r="K269" s="6" t="s">
        <v>1259</v>
      </c>
      <c r="L269" s="6" t="s">
        <v>1260</v>
      </c>
      <c r="M269" s="6" t="s">
        <v>602</v>
      </c>
      <c r="N269" s="6" t="s">
        <v>1261</v>
      </c>
      <c r="O269" s="6" t="s">
        <v>1262</v>
      </c>
      <c r="P269" s="6" t="s">
        <v>1263</v>
      </c>
    </row>
    <row r="270" customFormat="false" ht="129.75" hidden="false" customHeight="true" outlineLevel="0" collapsed="false">
      <c r="A270" s="5" t="s">
        <v>1264</v>
      </c>
      <c r="B270" s="6" t="s">
        <v>1210</v>
      </c>
      <c r="C270" s="6" t="s">
        <v>1210</v>
      </c>
      <c r="D270" s="6" t="s">
        <v>1211</v>
      </c>
      <c r="E270" s="6" t="s">
        <v>1251</v>
      </c>
      <c r="F270" s="7" t="s">
        <v>1265</v>
      </c>
      <c r="G270" s="7" t="s">
        <v>24</v>
      </c>
      <c r="H270" s="5" t="n">
        <v>3</v>
      </c>
      <c r="I270" s="6"/>
      <c r="J270" s="5" t="n">
        <v>14</v>
      </c>
      <c r="K270" s="6" t="s">
        <v>1266</v>
      </c>
      <c r="L270" s="6" t="s">
        <v>1267</v>
      </c>
      <c r="M270" s="6" t="s">
        <v>1268</v>
      </c>
      <c r="N270" s="6" t="s">
        <v>1269</v>
      </c>
      <c r="O270" s="6" t="s">
        <v>1270</v>
      </c>
      <c r="P270" s="6" t="s">
        <v>1271</v>
      </c>
    </row>
    <row r="271" customFormat="false" ht="164.25" hidden="false" customHeight="true" outlineLevel="0" collapsed="false">
      <c r="A271" s="5" t="s">
        <v>1272</v>
      </c>
      <c r="B271" s="6" t="s">
        <v>1210</v>
      </c>
      <c r="C271" s="6" t="s">
        <v>1210</v>
      </c>
      <c r="D271" s="6" t="s">
        <v>1211</v>
      </c>
      <c r="E271" s="6" t="s">
        <v>1251</v>
      </c>
      <c r="F271" s="7" t="s">
        <v>1273</v>
      </c>
      <c r="G271" s="7" t="s">
        <v>24</v>
      </c>
      <c r="H271" s="5" t="n">
        <v>2</v>
      </c>
      <c r="I271" s="6"/>
      <c r="J271" s="5" t="n">
        <v>21</v>
      </c>
      <c r="K271" s="6" t="s">
        <v>1274</v>
      </c>
      <c r="L271" s="6" t="s">
        <v>1275</v>
      </c>
      <c r="M271" s="6" t="s">
        <v>407</v>
      </c>
      <c r="N271" s="6" t="s">
        <v>1276</v>
      </c>
      <c r="O271" s="6" t="s">
        <v>1277</v>
      </c>
      <c r="P271" s="6" t="s">
        <v>1278</v>
      </c>
    </row>
    <row r="272" customFormat="false" ht="27.75" hidden="false" customHeight="true" outlineLevel="0" collapsed="false">
      <c r="A272" s="5" t="n">
        <v>36</v>
      </c>
      <c r="B272" s="6" t="s">
        <v>1210</v>
      </c>
      <c r="C272" s="6" t="s">
        <v>1210</v>
      </c>
      <c r="D272" s="6" t="s">
        <v>1211</v>
      </c>
      <c r="E272" s="6" t="s">
        <v>1279</v>
      </c>
      <c r="F272" s="7" t="s">
        <v>1280</v>
      </c>
      <c r="G272" s="7" t="s">
        <v>31</v>
      </c>
      <c r="H272" s="5" t="n">
        <v>3</v>
      </c>
      <c r="I272" s="6"/>
      <c r="J272" s="5" t="n">
        <v>0</v>
      </c>
      <c r="K272" s="6" t="s">
        <v>87</v>
      </c>
      <c r="L272" s="6" t="s">
        <v>1281</v>
      </c>
      <c r="M272" s="6"/>
      <c r="N272" s="6"/>
      <c r="O272" s="6" t="s">
        <v>1282</v>
      </c>
      <c r="P272" s="6" t="s">
        <v>1283</v>
      </c>
    </row>
    <row r="273" customFormat="false" ht="27.75" hidden="false" customHeight="true" outlineLevel="0" collapsed="false">
      <c r="A273" s="5" t="n">
        <v>37</v>
      </c>
      <c r="B273" s="6" t="s">
        <v>1210</v>
      </c>
      <c r="C273" s="6" t="s">
        <v>1210</v>
      </c>
      <c r="D273" s="6" t="s">
        <v>1211</v>
      </c>
      <c r="E273" s="6" t="s">
        <v>1279</v>
      </c>
      <c r="F273" s="7" t="s">
        <v>1284</v>
      </c>
      <c r="G273" s="7" t="s">
        <v>31</v>
      </c>
      <c r="H273" s="5" t="n">
        <v>3</v>
      </c>
      <c r="I273" s="6"/>
      <c r="J273" s="5" t="n">
        <v>0</v>
      </c>
      <c r="K273" s="6" t="s">
        <v>87</v>
      </c>
      <c r="L273" s="6" t="s">
        <v>1285</v>
      </c>
      <c r="M273" s="6"/>
      <c r="N273" s="6"/>
      <c r="O273" s="6" t="s">
        <v>1286</v>
      </c>
      <c r="P273" s="6" t="s">
        <v>1283</v>
      </c>
    </row>
    <row r="274" customFormat="false" ht="27.75" hidden="false" customHeight="true" outlineLevel="0" collapsed="false">
      <c r="A274" s="5" t="n">
        <v>64</v>
      </c>
      <c r="B274" s="6" t="s">
        <v>1210</v>
      </c>
      <c r="C274" s="6" t="s">
        <v>1210</v>
      </c>
      <c r="D274" s="6" t="s">
        <v>1211</v>
      </c>
      <c r="E274" s="6" t="s">
        <v>1279</v>
      </c>
      <c r="F274" s="7" t="s">
        <v>1287</v>
      </c>
      <c r="G274" s="7" t="s">
        <v>50</v>
      </c>
      <c r="H274" s="5"/>
      <c r="I274" s="6"/>
      <c r="J274" s="5" t="n">
        <v>28</v>
      </c>
      <c r="K274" s="6" t="s">
        <v>51</v>
      </c>
      <c r="L274" s="6"/>
      <c r="M274" s="6"/>
      <c r="N274" s="6"/>
      <c r="O274" s="6" t="s">
        <v>1288</v>
      </c>
      <c r="P274" s="6"/>
    </row>
    <row r="275" customFormat="false" ht="27.75" hidden="false" customHeight="true" outlineLevel="0" collapsed="false">
      <c r="A275" s="5" t="n">
        <v>34</v>
      </c>
      <c r="B275" s="6" t="s">
        <v>1210</v>
      </c>
      <c r="C275" s="6" t="s">
        <v>1210</v>
      </c>
      <c r="D275" s="6" t="s">
        <v>1211</v>
      </c>
      <c r="E275" s="6" t="s">
        <v>1279</v>
      </c>
      <c r="F275" s="7" t="s">
        <v>1289</v>
      </c>
      <c r="G275" s="7" t="s">
        <v>395</v>
      </c>
      <c r="H275" s="5" t="n">
        <v>1</v>
      </c>
      <c r="I275" s="6"/>
      <c r="J275" s="5" t="n">
        <v>0</v>
      </c>
      <c r="K275" s="6" t="s">
        <v>1290</v>
      </c>
      <c r="L275" s="6" t="s">
        <v>1291</v>
      </c>
      <c r="M275" s="6"/>
      <c r="N275" s="6"/>
      <c r="O275" s="6" t="s">
        <v>1292</v>
      </c>
      <c r="P275" s="6"/>
    </row>
    <row r="276" customFormat="false" ht="39" hidden="false" customHeight="true" outlineLevel="0" collapsed="false">
      <c r="A276" s="5" t="n">
        <v>35</v>
      </c>
      <c r="B276" s="6" t="s">
        <v>1210</v>
      </c>
      <c r="C276" s="6" t="s">
        <v>1210</v>
      </c>
      <c r="D276" s="6" t="s">
        <v>1211</v>
      </c>
      <c r="E276" s="6" t="s">
        <v>1279</v>
      </c>
      <c r="F276" s="7" t="s">
        <v>1293</v>
      </c>
      <c r="G276" s="7" t="s">
        <v>31</v>
      </c>
      <c r="H276" s="5" t="n">
        <v>3</v>
      </c>
      <c r="I276" s="6"/>
      <c r="J276" s="5" t="n">
        <v>0</v>
      </c>
      <c r="K276" s="6" t="s">
        <v>1294</v>
      </c>
      <c r="L276" s="6" t="s">
        <v>1295</v>
      </c>
      <c r="M276" s="6"/>
      <c r="N276" s="6"/>
      <c r="O276" s="6" t="s">
        <v>1292</v>
      </c>
      <c r="P276" s="6" t="s">
        <v>1296</v>
      </c>
    </row>
    <row r="277" customFormat="false" ht="27.75" hidden="false" customHeight="true" outlineLevel="0" collapsed="false">
      <c r="A277" s="5" t="n">
        <v>62</v>
      </c>
      <c r="B277" s="6" t="s">
        <v>1210</v>
      </c>
      <c r="C277" s="6" t="s">
        <v>1210</v>
      </c>
      <c r="D277" s="6" t="s">
        <v>1211</v>
      </c>
      <c r="E277" s="6" t="s">
        <v>1279</v>
      </c>
      <c r="F277" s="7" t="s">
        <v>1297</v>
      </c>
      <c r="G277" s="7" t="s">
        <v>50</v>
      </c>
      <c r="H277" s="5"/>
      <c r="I277" s="6"/>
      <c r="J277" s="5" t="n">
        <v>0</v>
      </c>
      <c r="K277" s="6" t="s">
        <v>51</v>
      </c>
      <c r="L277" s="6"/>
      <c r="M277" s="6"/>
      <c r="N277" s="6"/>
      <c r="O277" s="6" t="s">
        <v>1298</v>
      </c>
      <c r="P277" s="6" t="s">
        <v>1283</v>
      </c>
    </row>
    <row r="278" customFormat="false" ht="27.75" hidden="false" customHeight="true" outlineLevel="0" collapsed="false">
      <c r="A278" s="5" t="n">
        <v>63</v>
      </c>
      <c r="B278" s="6" t="s">
        <v>1210</v>
      </c>
      <c r="C278" s="6" t="s">
        <v>1210</v>
      </c>
      <c r="D278" s="6" t="s">
        <v>1211</v>
      </c>
      <c r="E278" s="6" t="s">
        <v>1279</v>
      </c>
      <c r="F278" s="7" t="s">
        <v>1299</v>
      </c>
      <c r="G278" s="7" t="s">
        <v>50</v>
      </c>
      <c r="H278" s="5"/>
      <c r="I278" s="6"/>
      <c r="J278" s="5" t="n">
        <v>28</v>
      </c>
      <c r="K278" s="6" t="s">
        <v>51</v>
      </c>
      <c r="L278" s="6"/>
      <c r="M278" s="6"/>
      <c r="N278" s="6"/>
      <c r="O278" s="6" t="s">
        <v>1300</v>
      </c>
      <c r="P278" s="6"/>
    </row>
    <row r="279" customFormat="false" ht="27.75" hidden="false" customHeight="true" outlineLevel="0" collapsed="false">
      <c r="A279" s="5" t="n">
        <v>65</v>
      </c>
      <c r="B279" s="6" t="s">
        <v>1210</v>
      </c>
      <c r="C279" s="6" t="s">
        <v>1210</v>
      </c>
      <c r="D279" s="6" t="s">
        <v>1211</v>
      </c>
      <c r="E279" s="6" t="s">
        <v>1301</v>
      </c>
      <c r="F279" s="7" t="s">
        <v>1302</v>
      </c>
      <c r="G279" s="7" t="s">
        <v>50</v>
      </c>
      <c r="H279" s="5"/>
      <c r="I279" s="6"/>
      <c r="J279" s="5" t="n">
        <v>28</v>
      </c>
      <c r="K279" s="6" t="s">
        <v>51</v>
      </c>
      <c r="L279" s="6"/>
      <c r="M279" s="6"/>
      <c r="N279" s="6"/>
      <c r="O279" s="6" t="s">
        <v>1303</v>
      </c>
      <c r="P279" s="6"/>
    </row>
    <row r="280" customFormat="false" ht="27.75" hidden="false" customHeight="true" outlineLevel="0" collapsed="false">
      <c r="A280" s="5" t="n">
        <v>67</v>
      </c>
      <c r="B280" s="6" t="s">
        <v>1210</v>
      </c>
      <c r="C280" s="6" t="s">
        <v>1210</v>
      </c>
      <c r="D280" s="6" t="s">
        <v>1211</v>
      </c>
      <c r="E280" s="6" t="s">
        <v>1301</v>
      </c>
      <c r="F280" s="7" t="s">
        <v>1304</v>
      </c>
      <c r="G280" s="7" t="s">
        <v>50</v>
      </c>
      <c r="H280" s="5"/>
      <c r="I280" s="6"/>
      <c r="J280" s="5" t="n">
        <v>182</v>
      </c>
      <c r="K280" s="6" t="s">
        <v>51</v>
      </c>
      <c r="L280" s="6"/>
      <c r="M280" s="6" t="s">
        <v>1305</v>
      </c>
      <c r="N280" s="6"/>
      <c r="O280" s="6" t="s">
        <v>1306</v>
      </c>
      <c r="P280" s="6"/>
    </row>
    <row r="281" customFormat="false" ht="27.75" hidden="false" customHeight="true" outlineLevel="0" collapsed="false">
      <c r="A281" s="5" t="n">
        <v>66</v>
      </c>
      <c r="B281" s="6" t="s">
        <v>1210</v>
      </c>
      <c r="C281" s="6" t="s">
        <v>1210</v>
      </c>
      <c r="D281" s="6" t="s">
        <v>1211</v>
      </c>
      <c r="E281" s="6" t="s">
        <v>1301</v>
      </c>
      <c r="F281" s="7" t="s">
        <v>1307</v>
      </c>
      <c r="G281" s="7" t="s">
        <v>50</v>
      </c>
      <c r="H281" s="5"/>
      <c r="I281" s="6"/>
      <c r="J281" s="5" t="n">
        <v>28</v>
      </c>
      <c r="K281" s="6" t="s">
        <v>51</v>
      </c>
      <c r="L281" s="6"/>
      <c r="M281" s="6"/>
      <c r="N281" s="6"/>
      <c r="O281" s="6" t="s">
        <v>1308</v>
      </c>
      <c r="P281" s="6"/>
    </row>
    <row r="282" customFormat="false" ht="84.75" hidden="false" customHeight="true" outlineLevel="0" collapsed="false">
      <c r="A282" s="5" t="n">
        <v>61</v>
      </c>
      <c r="B282" s="6" t="s">
        <v>1210</v>
      </c>
      <c r="C282" s="6" t="s">
        <v>1210</v>
      </c>
      <c r="D282" s="6" t="s">
        <v>1211</v>
      </c>
      <c r="E282" s="6" t="s">
        <v>1309</v>
      </c>
      <c r="F282" s="7" t="s">
        <v>1310</v>
      </c>
      <c r="G282" s="7" t="s">
        <v>31</v>
      </c>
      <c r="H282" s="5" t="n">
        <v>3</v>
      </c>
      <c r="I282" s="6"/>
      <c r="J282" s="5" t="n">
        <v>28</v>
      </c>
      <c r="K282" s="6" t="s">
        <v>781</v>
      </c>
      <c r="L282" s="6" t="s">
        <v>1311</v>
      </c>
      <c r="M282" s="6"/>
      <c r="N282" s="6"/>
      <c r="O282" s="6" t="s">
        <v>1312</v>
      </c>
      <c r="P282" s="6" t="s">
        <v>1313</v>
      </c>
    </row>
    <row r="283" customFormat="false" ht="267" hidden="false" customHeight="true" outlineLevel="0" collapsed="false">
      <c r="A283" s="5" t="n">
        <v>19</v>
      </c>
      <c r="B283" s="6" t="s">
        <v>1210</v>
      </c>
      <c r="C283" s="6" t="s">
        <v>1210</v>
      </c>
      <c r="D283" s="6" t="s">
        <v>1211</v>
      </c>
      <c r="E283" s="6" t="s">
        <v>1309</v>
      </c>
      <c r="F283" s="7" t="s">
        <v>1314</v>
      </c>
      <c r="G283" s="7" t="s">
        <v>50</v>
      </c>
      <c r="H283" s="5"/>
      <c r="I283" s="6"/>
      <c r="J283" s="5" t="n">
        <v>21</v>
      </c>
      <c r="K283" s="6" t="s">
        <v>51</v>
      </c>
      <c r="L283" s="6"/>
      <c r="M283" s="6" t="s">
        <v>1098</v>
      </c>
      <c r="N283" s="6"/>
      <c r="O283" s="6" t="s">
        <v>1315</v>
      </c>
      <c r="P283" s="6" t="s">
        <v>1316</v>
      </c>
    </row>
    <row r="284" customFormat="false" ht="72.75" hidden="false" customHeight="true" outlineLevel="0" collapsed="false">
      <c r="A284" s="5" t="n">
        <v>1</v>
      </c>
      <c r="B284" s="6" t="s">
        <v>1210</v>
      </c>
      <c r="C284" s="6" t="s">
        <v>1210</v>
      </c>
      <c r="D284" s="6" t="s">
        <v>1211</v>
      </c>
      <c r="E284" s="6" t="s">
        <v>1309</v>
      </c>
      <c r="F284" s="7" t="s">
        <v>1317</v>
      </c>
      <c r="G284" s="7" t="s">
        <v>31</v>
      </c>
      <c r="H284" s="5" t="n">
        <v>3</v>
      </c>
      <c r="I284" s="6"/>
      <c r="J284" s="5" t="n">
        <v>21</v>
      </c>
      <c r="K284" s="6" t="s">
        <v>87</v>
      </c>
      <c r="L284" s="6" t="s">
        <v>1318</v>
      </c>
      <c r="M284" s="6" t="s">
        <v>45</v>
      </c>
      <c r="N284" s="6" t="s">
        <v>40</v>
      </c>
      <c r="O284" s="6" t="s">
        <v>1319</v>
      </c>
      <c r="P284" s="6" t="s">
        <v>1320</v>
      </c>
    </row>
    <row r="285" customFormat="false" ht="50.25" hidden="false" customHeight="true" outlineLevel="0" collapsed="false">
      <c r="A285" s="5" t="n">
        <v>56</v>
      </c>
      <c r="B285" s="6" t="s">
        <v>1210</v>
      </c>
      <c r="C285" s="6" t="s">
        <v>1210</v>
      </c>
      <c r="D285" s="6" t="s">
        <v>1321</v>
      </c>
      <c r="E285" s="6" t="s">
        <v>1212</v>
      </c>
      <c r="F285" s="7" t="s">
        <v>1322</v>
      </c>
      <c r="G285" s="7" t="s">
        <v>31</v>
      </c>
      <c r="H285" s="5" t="n">
        <v>2</v>
      </c>
      <c r="I285" s="6"/>
      <c r="J285" s="5" t="n">
        <v>21</v>
      </c>
      <c r="K285" s="6" t="s">
        <v>1323</v>
      </c>
      <c r="L285" s="6" t="s">
        <v>1324</v>
      </c>
      <c r="M285" s="6" t="s">
        <v>1216</v>
      </c>
      <c r="N285" s="6" t="s">
        <v>408</v>
      </c>
      <c r="O285" s="6" t="s">
        <v>1325</v>
      </c>
      <c r="P285" s="6" t="s">
        <v>1234</v>
      </c>
    </row>
    <row r="286" customFormat="false" ht="84.75" hidden="false" customHeight="true" outlineLevel="0" collapsed="false">
      <c r="A286" s="5" t="n">
        <v>52</v>
      </c>
      <c r="B286" s="6" t="s">
        <v>1210</v>
      </c>
      <c r="C286" s="6" t="s">
        <v>1210</v>
      </c>
      <c r="D286" s="6" t="s">
        <v>1321</v>
      </c>
      <c r="E286" s="6" t="s">
        <v>1212</v>
      </c>
      <c r="F286" s="7" t="s">
        <v>1326</v>
      </c>
      <c r="G286" s="7" t="s">
        <v>31</v>
      </c>
      <c r="H286" s="5" t="n">
        <v>2</v>
      </c>
      <c r="I286" s="6"/>
      <c r="J286" s="5" t="n">
        <v>21</v>
      </c>
      <c r="K286" s="6" t="s">
        <v>1327</v>
      </c>
      <c r="L286" s="6" t="s">
        <v>1328</v>
      </c>
      <c r="M286" s="6" t="s">
        <v>1329</v>
      </c>
      <c r="N286" s="6" t="s">
        <v>1133</v>
      </c>
      <c r="O286" s="6" t="s">
        <v>1330</v>
      </c>
      <c r="P286" s="6" t="s">
        <v>1331</v>
      </c>
    </row>
    <row r="287" customFormat="false" ht="84.75" hidden="false" customHeight="true" outlineLevel="0" collapsed="false">
      <c r="A287" s="5" t="n">
        <v>43</v>
      </c>
      <c r="B287" s="6" t="s">
        <v>1210</v>
      </c>
      <c r="C287" s="6" t="s">
        <v>1210</v>
      </c>
      <c r="D287" s="6" t="s">
        <v>1321</v>
      </c>
      <c r="E287" s="6" t="s">
        <v>1212</v>
      </c>
      <c r="F287" s="7" t="s">
        <v>1332</v>
      </c>
      <c r="G287" s="7" t="s">
        <v>31</v>
      </c>
      <c r="H287" s="5" t="n">
        <v>2</v>
      </c>
      <c r="I287" s="6"/>
      <c r="J287" s="5" t="n">
        <v>14</v>
      </c>
      <c r="K287" s="6" t="s">
        <v>1333</v>
      </c>
      <c r="L287" s="6" t="s">
        <v>1334</v>
      </c>
      <c r="M287" s="6" t="s">
        <v>1329</v>
      </c>
      <c r="N287" s="6" t="s">
        <v>1133</v>
      </c>
      <c r="O287" s="6" t="s">
        <v>1335</v>
      </c>
      <c r="P287" s="6" t="s">
        <v>1336</v>
      </c>
    </row>
    <row r="288" customFormat="false" ht="72.75" hidden="false" customHeight="true" outlineLevel="0" collapsed="false">
      <c r="A288" s="5" t="n">
        <v>47</v>
      </c>
      <c r="B288" s="6" t="s">
        <v>1210</v>
      </c>
      <c r="C288" s="6" t="s">
        <v>1210</v>
      </c>
      <c r="D288" s="6" t="s">
        <v>1321</v>
      </c>
      <c r="E288" s="6" t="s">
        <v>1212</v>
      </c>
      <c r="F288" s="7" t="s">
        <v>1337</v>
      </c>
      <c r="G288" s="7" t="s">
        <v>31</v>
      </c>
      <c r="H288" s="5" t="n">
        <v>2</v>
      </c>
      <c r="I288" s="6"/>
      <c r="J288" s="5" t="n">
        <v>21</v>
      </c>
      <c r="K288" s="6" t="s">
        <v>452</v>
      </c>
      <c r="L288" s="6" t="s">
        <v>1338</v>
      </c>
      <c r="M288" s="6" t="s">
        <v>1227</v>
      </c>
      <c r="N288" s="6"/>
      <c r="O288" s="6" t="s">
        <v>1339</v>
      </c>
      <c r="P288" s="6" t="s">
        <v>1234</v>
      </c>
    </row>
    <row r="289" customFormat="false" ht="72.75" hidden="false" customHeight="true" outlineLevel="0" collapsed="false">
      <c r="A289" s="5" t="s">
        <v>1340</v>
      </c>
      <c r="B289" s="6" t="s">
        <v>1210</v>
      </c>
      <c r="C289" s="6" t="s">
        <v>1210</v>
      </c>
      <c r="D289" s="6" t="s">
        <v>1321</v>
      </c>
      <c r="E289" s="6" t="s">
        <v>1212</v>
      </c>
      <c r="F289" s="7" t="s">
        <v>1341</v>
      </c>
      <c r="G289" s="7" t="s">
        <v>24</v>
      </c>
      <c r="H289" s="5" t="n">
        <v>3</v>
      </c>
      <c r="I289" s="6"/>
      <c r="J289" s="5" t="n">
        <v>21</v>
      </c>
      <c r="K289" s="6" t="s">
        <v>1342</v>
      </c>
      <c r="L289" s="6" t="s">
        <v>1343</v>
      </c>
      <c r="M289" s="6" t="s">
        <v>213</v>
      </c>
      <c r="N289" s="6"/>
      <c r="O289" s="6" t="s">
        <v>1344</v>
      </c>
      <c r="P289" s="6" t="s">
        <v>1345</v>
      </c>
    </row>
    <row r="290" customFormat="false" ht="221.25" hidden="false" customHeight="true" outlineLevel="0" collapsed="false">
      <c r="A290" s="5" t="s">
        <v>1346</v>
      </c>
      <c r="B290" s="6" t="s">
        <v>1210</v>
      </c>
      <c r="C290" s="6" t="s">
        <v>1210</v>
      </c>
      <c r="D290" s="6" t="s">
        <v>1321</v>
      </c>
      <c r="E290" s="6" t="s">
        <v>1212</v>
      </c>
      <c r="F290" s="7" t="s">
        <v>1347</v>
      </c>
      <c r="G290" s="7" t="s">
        <v>24</v>
      </c>
      <c r="H290" s="5" t="n">
        <v>2</v>
      </c>
      <c r="I290" s="6"/>
      <c r="J290" s="5" t="n">
        <v>21</v>
      </c>
      <c r="K290" s="6" t="s">
        <v>1348</v>
      </c>
      <c r="L290" s="6" t="s">
        <v>1349</v>
      </c>
      <c r="M290" s="6" t="s">
        <v>1239</v>
      </c>
      <c r="N290" s="6" t="s">
        <v>1350</v>
      </c>
      <c r="O290" s="6" t="s">
        <v>1351</v>
      </c>
      <c r="P290" s="6" t="s">
        <v>1352</v>
      </c>
    </row>
    <row r="291" customFormat="false" ht="27.75" hidden="false" customHeight="true" outlineLevel="0" collapsed="false">
      <c r="A291" s="5" t="n">
        <v>57</v>
      </c>
      <c r="B291" s="6" t="s">
        <v>1210</v>
      </c>
      <c r="C291" s="6" t="s">
        <v>1210</v>
      </c>
      <c r="D291" s="6" t="s">
        <v>1321</v>
      </c>
      <c r="E291" s="6" t="s">
        <v>1212</v>
      </c>
      <c r="F291" s="7" t="s">
        <v>1353</v>
      </c>
      <c r="G291" s="7" t="s">
        <v>50</v>
      </c>
      <c r="H291" s="5"/>
      <c r="I291" s="6"/>
      <c r="J291" s="5" t="n">
        <v>21</v>
      </c>
      <c r="K291" s="6" t="s">
        <v>51</v>
      </c>
      <c r="L291" s="6"/>
      <c r="M291" s="6" t="s">
        <v>213</v>
      </c>
      <c r="N291" s="6"/>
      <c r="O291" s="6" t="s">
        <v>1354</v>
      </c>
      <c r="P291" s="6" t="s">
        <v>1352</v>
      </c>
    </row>
    <row r="292" customFormat="false" ht="61.5" hidden="false" customHeight="true" outlineLevel="0" collapsed="false">
      <c r="A292" s="5" t="n">
        <v>58</v>
      </c>
      <c r="B292" s="6" t="s">
        <v>1210</v>
      </c>
      <c r="C292" s="6" t="s">
        <v>1210</v>
      </c>
      <c r="D292" s="6" t="s">
        <v>1321</v>
      </c>
      <c r="E292" s="6" t="s">
        <v>1309</v>
      </c>
      <c r="F292" s="7" t="s">
        <v>1355</v>
      </c>
      <c r="G292" s="7" t="s">
        <v>31</v>
      </c>
      <c r="H292" s="5" t="n">
        <v>2</v>
      </c>
      <c r="I292" s="6"/>
      <c r="J292" s="5" t="n">
        <v>21</v>
      </c>
      <c r="K292" s="6" t="s">
        <v>1130</v>
      </c>
      <c r="L292" s="6" t="s">
        <v>1324</v>
      </c>
      <c r="M292" s="6" t="s">
        <v>1356</v>
      </c>
      <c r="N292" s="6" t="s">
        <v>1133</v>
      </c>
      <c r="O292" s="6" t="s">
        <v>1357</v>
      </c>
      <c r="P292" s="6"/>
    </row>
    <row r="293" customFormat="false" ht="107.25" hidden="false" customHeight="true" outlineLevel="0" collapsed="false">
      <c r="A293" s="5" t="n">
        <v>29</v>
      </c>
      <c r="B293" s="6" t="s">
        <v>1210</v>
      </c>
      <c r="C293" s="6" t="s">
        <v>1210</v>
      </c>
      <c r="D293" s="6" t="s">
        <v>1321</v>
      </c>
      <c r="E293" s="6" t="s">
        <v>1309</v>
      </c>
      <c r="F293" s="7" t="s">
        <v>1358</v>
      </c>
      <c r="G293" s="7" t="s">
        <v>31</v>
      </c>
      <c r="H293" s="5" t="n">
        <v>2</v>
      </c>
      <c r="I293" s="6"/>
      <c r="J293" s="5" t="n">
        <v>21</v>
      </c>
      <c r="K293" s="6" t="s">
        <v>452</v>
      </c>
      <c r="L293" s="6" t="s">
        <v>1359</v>
      </c>
      <c r="M293" s="6" t="s">
        <v>1360</v>
      </c>
      <c r="N293" s="6" t="s">
        <v>454</v>
      </c>
      <c r="O293" s="6" t="s">
        <v>1361</v>
      </c>
      <c r="P293" s="6"/>
    </row>
    <row r="294" customFormat="false" ht="39" hidden="false" customHeight="true" outlineLevel="0" collapsed="false">
      <c r="A294" s="5" t="n">
        <v>27</v>
      </c>
      <c r="B294" s="6" t="s">
        <v>1210</v>
      </c>
      <c r="C294" s="6" t="s">
        <v>1210</v>
      </c>
      <c r="D294" s="6" t="s">
        <v>1321</v>
      </c>
      <c r="E294" s="6" t="s">
        <v>1309</v>
      </c>
      <c r="F294" s="7" t="s">
        <v>1362</v>
      </c>
      <c r="G294" s="7" t="s">
        <v>395</v>
      </c>
      <c r="H294" s="5" t="n">
        <v>1</v>
      </c>
      <c r="I294" s="6"/>
      <c r="J294" s="5" t="n">
        <v>21</v>
      </c>
      <c r="K294" s="6" t="s">
        <v>1363</v>
      </c>
      <c r="L294" s="6" t="s">
        <v>1364</v>
      </c>
      <c r="M294" s="6"/>
      <c r="N294" s="6"/>
      <c r="O294" s="6" t="s">
        <v>1365</v>
      </c>
      <c r="P294" s="6" t="s">
        <v>1366</v>
      </c>
    </row>
    <row r="295" customFormat="false" ht="72.75" hidden="false" customHeight="true" outlineLevel="0" collapsed="false">
      <c r="A295" s="5" t="n">
        <v>303</v>
      </c>
      <c r="B295" s="6" t="s">
        <v>1210</v>
      </c>
      <c r="C295" s="6" t="s">
        <v>1210</v>
      </c>
      <c r="D295" s="6" t="s">
        <v>1321</v>
      </c>
      <c r="E295" s="6" t="s">
        <v>1309</v>
      </c>
      <c r="F295" s="7" t="s">
        <v>1367</v>
      </c>
      <c r="G295" s="7" t="s">
        <v>31</v>
      </c>
      <c r="H295" s="5" t="n">
        <v>2</v>
      </c>
      <c r="I295" s="6"/>
      <c r="J295" s="5" t="n">
        <v>21</v>
      </c>
      <c r="K295" s="6" t="s">
        <v>907</v>
      </c>
      <c r="L295" s="6" t="s">
        <v>1368</v>
      </c>
      <c r="M295" s="6" t="s">
        <v>27</v>
      </c>
      <c r="N295" s="6" t="s">
        <v>28</v>
      </c>
      <c r="O295" s="6" t="s">
        <v>1369</v>
      </c>
      <c r="P295" s="6" t="s">
        <v>1366</v>
      </c>
    </row>
    <row r="296" customFormat="false" ht="141.75" hidden="false" customHeight="true" outlineLevel="0" collapsed="false">
      <c r="A296" s="5" t="n">
        <v>31</v>
      </c>
      <c r="B296" s="6" t="s">
        <v>1210</v>
      </c>
      <c r="C296" s="6" t="s">
        <v>1210</v>
      </c>
      <c r="D296" s="6" t="s">
        <v>1321</v>
      </c>
      <c r="E296" s="6" t="s">
        <v>1309</v>
      </c>
      <c r="F296" s="7" t="s">
        <v>1370</v>
      </c>
      <c r="G296" s="7" t="s">
        <v>31</v>
      </c>
      <c r="H296" s="5" t="n">
        <v>3</v>
      </c>
      <c r="I296" s="6"/>
      <c r="J296" s="5" t="n">
        <v>21</v>
      </c>
      <c r="K296" s="6" t="s">
        <v>87</v>
      </c>
      <c r="L296" s="6" t="s">
        <v>1371</v>
      </c>
      <c r="M296" s="6" t="s">
        <v>427</v>
      </c>
      <c r="N296" s="6"/>
      <c r="O296" s="6" t="s">
        <v>1372</v>
      </c>
      <c r="P296" s="6" t="s">
        <v>1373</v>
      </c>
    </row>
    <row r="297" customFormat="false" ht="61.5" hidden="false" customHeight="true" outlineLevel="0" collapsed="false">
      <c r="A297" s="5" t="s">
        <v>1374</v>
      </c>
      <c r="B297" s="6" t="s">
        <v>1210</v>
      </c>
      <c r="C297" s="6" t="s">
        <v>1210</v>
      </c>
      <c r="D297" s="6" t="s">
        <v>22</v>
      </c>
      <c r="E297" s="6" t="s">
        <v>1375</v>
      </c>
      <c r="F297" s="7" t="s">
        <v>1376</v>
      </c>
      <c r="G297" s="7" t="s">
        <v>24</v>
      </c>
      <c r="H297" s="5" t="n">
        <v>4</v>
      </c>
      <c r="I297" s="6"/>
      <c r="J297" s="5" t="n">
        <v>28</v>
      </c>
      <c r="K297" s="6" t="s">
        <v>1377</v>
      </c>
      <c r="L297" s="6" t="s">
        <v>1378</v>
      </c>
      <c r="M297" s="6"/>
      <c r="N297" s="6"/>
      <c r="O297" s="6" t="s">
        <v>1379</v>
      </c>
      <c r="P297" s="6"/>
    </row>
    <row r="298" customFormat="false" ht="50.25" hidden="false" customHeight="true" outlineLevel="0" collapsed="false">
      <c r="A298" s="5" t="n">
        <v>86</v>
      </c>
      <c r="B298" s="6" t="s">
        <v>1210</v>
      </c>
      <c r="C298" s="6" t="s">
        <v>1210</v>
      </c>
      <c r="D298" s="6" t="s">
        <v>22</v>
      </c>
      <c r="E298" s="6" t="s">
        <v>1212</v>
      </c>
      <c r="F298" s="7" t="s">
        <v>1380</v>
      </c>
      <c r="G298" s="7" t="s">
        <v>50</v>
      </c>
      <c r="H298" s="5"/>
      <c r="I298" s="6"/>
      <c r="J298" s="5" t="n">
        <v>21</v>
      </c>
      <c r="K298" s="6" t="s">
        <v>51</v>
      </c>
      <c r="L298" s="6"/>
      <c r="M298" s="6" t="s">
        <v>1381</v>
      </c>
      <c r="N298" s="6" t="s">
        <v>40</v>
      </c>
      <c r="O298" s="6" t="s">
        <v>1382</v>
      </c>
      <c r="P298" s="6"/>
    </row>
    <row r="299" customFormat="false" ht="72.75" hidden="false" customHeight="true" outlineLevel="0" collapsed="false">
      <c r="A299" s="5" t="n">
        <v>30</v>
      </c>
      <c r="B299" s="6" t="s">
        <v>1210</v>
      </c>
      <c r="C299" s="6" t="s">
        <v>1210</v>
      </c>
      <c r="D299" s="6" t="s">
        <v>22</v>
      </c>
      <c r="E299" s="6" t="s">
        <v>1212</v>
      </c>
      <c r="F299" s="7" t="s">
        <v>1383</v>
      </c>
      <c r="G299" s="7" t="s">
        <v>31</v>
      </c>
      <c r="H299" s="5" t="n">
        <v>3</v>
      </c>
      <c r="I299" s="6"/>
      <c r="J299" s="5" t="n">
        <v>21</v>
      </c>
      <c r="K299" s="6" t="s">
        <v>1384</v>
      </c>
      <c r="L299" s="6" t="s">
        <v>1385</v>
      </c>
      <c r="M299" s="6" t="s">
        <v>1386</v>
      </c>
      <c r="N299" s="6" t="s">
        <v>454</v>
      </c>
      <c r="O299" s="6" t="s">
        <v>1387</v>
      </c>
      <c r="P299" s="6"/>
    </row>
    <row r="300" customFormat="false" ht="27.75" hidden="false" customHeight="true" outlineLevel="0" collapsed="false">
      <c r="A300" s="5" t="n">
        <v>42</v>
      </c>
      <c r="B300" s="6" t="s">
        <v>1210</v>
      </c>
      <c r="C300" s="6" t="s">
        <v>1210</v>
      </c>
      <c r="D300" s="6" t="s">
        <v>22</v>
      </c>
      <c r="E300" s="6" t="s">
        <v>1212</v>
      </c>
      <c r="F300" s="7" t="s">
        <v>1388</v>
      </c>
      <c r="G300" s="7" t="s">
        <v>31</v>
      </c>
      <c r="H300" s="5" t="n">
        <v>3</v>
      </c>
      <c r="I300" s="6"/>
      <c r="J300" s="5" t="n">
        <v>21</v>
      </c>
      <c r="K300" s="6" t="s">
        <v>87</v>
      </c>
      <c r="L300" s="6" t="s">
        <v>1389</v>
      </c>
      <c r="M300" s="6" t="s">
        <v>213</v>
      </c>
      <c r="N300" s="6"/>
      <c r="O300" s="6" t="s">
        <v>1390</v>
      </c>
      <c r="P300" s="6"/>
    </row>
    <row r="301" customFormat="false" ht="27.75" hidden="false" customHeight="true" outlineLevel="0" collapsed="false">
      <c r="A301" s="5" t="n">
        <v>87</v>
      </c>
      <c r="B301" s="6" t="s">
        <v>1210</v>
      </c>
      <c r="C301" s="6" t="s">
        <v>1210</v>
      </c>
      <c r="D301" s="6" t="s">
        <v>22</v>
      </c>
      <c r="E301" s="6" t="s">
        <v>1212</v>
      </c>
      <c r="F301" s="7" t="s">
        <v>1391</v>
      </c>
      <c r="G301" s="7" t="s">
        <v>50</v>
      </c>
      <c r="H301" s="5"/>
      <c r="I301" s="6"/>
      <c r="J301" s="5" t="n">
        <v>21</v>
      </c>
      <c r="K301" s="6" t="s">
        <v>51</v>
      </c>
      <c r="L301" s="6"/>
      <c r="M301" s="6" t="s">
        <v>45</v>
      </c>
      <c r="N301" s="6" t="s">
        <v>40</v>
      </c>
      <c r="O301" s="6" t="s">
        <v>1392</v>
      </c>
      <c r="P301" s="6"/>
    </row>
    <row r="302" customFormat="false" ht="129.75" hidden="false" customHeight="true" outlineLevel="0" collapsed="false">
      <c r="A302" s="5" t="s">
        <v>1393</v>
      </c>
      <c r="B302" s="6" t="s">
        <v>1210</v>
      </c>
      <c r="C302" s="6" t="s">
        <v>1210</v>
      </c>
      <c r="D302" s="6" t="s">
        <v>22</v>
      </c>
      <c r="E302" s="6" t="s">
        <v>1212</v>
      </c>
      <c r="F302" s="7" t="s">
        <v>1394</v>
      </c>
      <c r="G302" s="7" t="s">
        <v>24</v>
      </c>
      <c r="H302" s="5" t="n">
        <v>4</v>
      </c>
      <c r="I302" s="6"/>
      <c r="J302" s="5" t="n">
        <v>21</v>
      </c>
      <c r="K302" s="6" t="s">
        <v>1395</v>
      </c>
      <c r="L302" s="6" t="s">
        <v>1396</v>
      </c>
      <c r="M302" s="6" t="s">
        <v>432</v>
      </c>
      <c r="N302" s="6" t="s">
        <v>28</v>
      </c>
      <c r="O302" s="6" t="s">
        <v>1397</v>
      </c>
      <c r="P302" s="6"/>
    </row>
    <row r="303" customFormat="false" ht="27.75" hidden="false" customHeight="true" outlineLevel="0" collapsed="false">
      <c r="A303" s="5" t="n">
        <v>32</v>
      </c>
      <c r="B303" s="6" t="s">
        <v>1210</v>
      </c>
      <c r="C303" s="6" t="s">
        <v>1210</v>
      </c>
      <c r="D303" s="6" t="s">
        <v>22</v>
      </c>
      <c r="E303" s="6" t="s">
        <v>1212</v>
      </c>
      <c r="F303" s="7" t="s">
        <v>1398</v>
      </c>
      <c r="G303" s="7" t="s">
        <v>31</v>
      </c>
      <c r="H303" s="5" t="n">
        <v>3</v>
      </c>
      <c r="I303" s="6"/>
      <c r="J303" s="5" t="n">
        <v>21</v>
      </c>
      <c r="K303" s="6" t="s">
        <v>87</v>
      </c>
      <c r="L303" s="6" t="s">
        <v>1399</v>
      </c>
      <c r="M303" s="6" t="s">
        <v>213</v>
      </c>
      <c r="N303" s="6"/>
      <c r="O303" s="6" t="s">
        <v>1400</v>
      </c>
      <c r="P303" s="6"/>
    </row>
    <row r="304" customFormat="false" ht="50.25" hidden="false" customHeight="true" outlineLevel="0" collapsed="false">
      <c r="A304" s="5" t="n">
        <v>88</v>
      </c>
      <c r="B304" s="6" t="s">
        <v>1210</v>
      </c>
      <c r="C304" s="6" t="s">
        <v>1210</v>
      </c>
      <c r="D304" s="6" t="s">
        <v>22</v>
      </c>
      <c r="E304" s="6" t="s">
        <v>1212</v>
      </c>
      <c r="F304" s="7" t="s">
        <v>1401</v>
      </c>
      <c r="G304" s="7" t="s">
        <v>50</v>
      </c>
      <c r="H304" s="5"/>
      <c r="I304" s="6"/>
      <c r="J304" s="5" t="n">
        <v>21</v>
      </c>
      <c r="K304" s="6" t="s">
        <v>51</v>
      </c>
      <c r="L304" s="6"/>
      <c r="M304" s="6" t="s">
        <v>1381</v>
      </c>
      <c r="N304" s="6" t="s">
        <v>40</v>
      </c>
      <c r="O304" s="6" t="s">
        <v>1402</v>
      </c>
      <c r="P304" s="6"/>
    </row>
    <row r="305" customFormat="false" ht="61.5" hidden="false" customHeight="true" outlineLevel="0" collapsed="false">
      <c r="A305" s="5" t="n">
        <v>85</v>
      </c>
      <c r="B305" s="6" t="s">
        <v>1210</v>
      </c>
      <c r="C305" s="6" t="s">
        <v>1210</v>
      </c>
      <c r="D305" s="6" t="s">
        <v>22</v>
      </c>
      <c r="E305" s="6" t="s">
        <v>1212</v>
      </c>
      <c r="F305" s="7" t="s">
        <v>1403</v>
      </c>
      <c r="G305" s="7" t="s">
        <v>31</v>
      </c>
      <c r="H305" s="5" t="n">
        <v>3</v>
      </c>
      <c r="I305" s="6"/>
      <c r="J305" s="5" t="n">
        <v>21</v>
      </c>
      <c r="K305" s="6" t="s">
        <v>1404</v>
      </c>
      <c r="L305" s="6" t="s">
        <v>1405</v>
      </c>
      <c r="M305" s="6" t="s">
        <v>1406</v>
      </c>
      <c r="N305" s="6"/>
      <c r="O305" s="6" t="s">
        <v>1407</v>
      </c>
      <c r="P305" s="6"/>
    </row>
    <row r="306" customFormat="false" ht="50.25" hidden="false" customHeight="true" outlineLevel="0" collapsed="false">
      <c r="A306" s="5" t="n">
        <v>84</v>
      </c>
      <c r="B306" s="6" t="s">
        <v>1210</v>
      </c>
      <c r="C306" s="6" t="s">
        <v>1210</v>
      </c>
      <c r="D306" s="6" t="s">
        <v>22</v>
      </c>
      <c r="E306" s="6" t="s">
        <v>1408</v>
      </c>
      <c r="F306" s="7" t="s">
        <v>1409</v>
      </c>
      <c r="G306" s="7" t="s">
        <v>31</v>
      </c>
      <c r="H306" s="5" t="n">
        <v>2</v>
      </c>
      <c r="I306" s="6"/>
      <c r="J306" s="5" t="n">
        <v>21</v>
      </c>
      <c r="K306" s="6" t="s">
        <v>1410</v>
      </c>
      <c r="L306" s="6" t="s">
        <v>1411</v>
      </c>
      <c r="M306" s="6" t="s">
        <v>1412</v>
      </c>
      <c r="N306" s="6" t="s">
        <v>28</v>
      </c>
      <c r="O306" s="6" t="s">
        <v>1413</v>
      </c>
      <c r="P306" s="6" t="s">
        <v>1414</v>
      </c>
    </row>
    <row r="307" customFormat="false" ht="50.25" hidden="false" customHeight="true" outlineLevel="0" collapsed="false">
      <c r="A307" s="5" t="n">
        <v>304</v>
      </c>
      <c r="B307" s="6" t="s">
        <v>1210</v>
      </c>
      <c r="C307" s="6" t="s">
        <v>1210</v>
      </c>
      <c r="D307" s="6" t="s">
        <v>22</v>
      </c>
      <c r="E307" s="6" t="s">
        <v>1408</v>
      </c>
      <c r="F307" s="7" t="s">
        <v>1415</v>
      </c>
      <c r="G307" s="7" t="s">
        <v>50</v>
      </c>
      <c r="H307" s="5"/>
      <c r="I307" s="6"/>
      <c r="J307" s="5" t="n">
        <v>21</v>
      </c>
      <c r="K307" s="6" t="s">
        <v>431</v>
      </c>
      <c r="L307" s="6"/>
      <c r="M307" s="6" t="s">
        <v>432</v>
      </c>
      <c r="N307" s="6" t="s">
        <v>28</v>
      </c>
      <c r="O307" s="6" t="s">
        <v>1416</v>
      </c>
      <c r="P307" s="6" t="s">
        <v>1417</v>
      </c>
    </row>
    <row r="308" customFormat="false" ht="50.25" hidden="false" customHeight="true" outlineLevel="0" collapsed="false">
      <c r="A308" s="5" t="n">
        <v>81</v>
      </c>
      <c r="B308" s="6" t="s">
        <v>1210</v>
      </c>
      <c r="C308" s="6" t="s">
        <v>1210</v>
      </c>
      <c r="D308" s="6" t="s">
        <v>22</v>
      </c>
      <c r="E308" s="6" t="s">
        <v>1251</v>
      </c>
      <c r="F308" s="7" t="s">
        <v>1418</v>
      </c>
      <c r="G308" s="7" t="s">
        <v>50</v>
      </c>
      <c r="H308" s="5"/>
      <c r="I308" s="6"/>
      <c r="J308" s="5" t="n">
        <v>21</v>
      </c>
      <c r="K308" s="6" t="s">
        <v>591</v>
      </c>
      <c r="L308" s="6"/>
      <c r="M308" s="6" t="s">
        <v>346</v>
      </c>
      <c r="N308" s="6" t="s">
        <v>28</v>
      </c>
      <c r="O308" s="6" t="s">
        <v>1419</v>
      </c>
      <c r="P308" s="6" t="s">
        <v>1414</v>
      </c>
    </row>
    <row r="309" customFormat="false" ht="50.25" hidden="false" customHeight="true" outlineLevel="0" collapsed="false">
      <c r="A309" s="5" t="n">
        <v>28</v>
      </c>
      <c r="B309" s="6" t="s">
        <v>1210</v>
      </c>
      <c r="C309" s="6" t="s">
        <v>1210</v>
      </c>
      <c r="D309" s="6" t="s">
        <v>22</v>
      </c>
      <c r="E309" s="6" t="s">
        <v>1251</v>
      </c>
      <c r="F309" s="7" t="s">
        <v>1420</v>
      </c>
      <c r="G309" s="7" t="s">
        <v>395</v>
      </c>
      <c r="H309" s="5" t="n">
        <v>1</v>
      </c>
      <c r="I309" s="6"/>
      <c r="J309" s="5" t="n">
        <v>21</v>
      </c>
      <c r="K309" s="6" t="s">
        <v>1421</v>
      </c>
      <c r="L309" s="6" t="s">
        <v>1422</v>
      </c>
      <c r="M309" s="6"/>
      <c r="N309" s="6"/>
      <c r="O309" s="6" t="s">
        <v>1423</v>
      </c>
      <c r="P309" s="6"/>
    </row>
    <row r="310" customFormat="false" ht="96" hidden="false" customHeight="true" outlineLevel="0" collapsed="false">
      <c r="A310" s="5" t="s">
        <v>1424</v>
      </c>
      <c r="B310" s="6" t="s">
        <v>1210</v>
      </c>
      <c r="C310" s="6" t="s">
        <v>1210</v>
      </c>
      <c r="D310" s="6" t="s">
        <v>22</v>
      </c>
      <c r="E310" s="6" t="s">
        <v>1251</v>
      </c>
      <c r="F310" s="7" t="s">
        <v>1425</v>
      </c>
      <c r="G310" s="7" t="s">
        <v>24</v>
      </c>
      <c r="H310" s="5" t="n">
        <v>3</v>
      </c>
      <c r="I310" s="6"/>
      <c r="J310" s="5" t="n">
        <v>28</v>
      </c>
      <c r="K310" s="6" t="s">
        <v>1426</v>
      </c>
      <c r="L310" s="6" t="s">
        <v>1427</v>
      </c>
      <c r="M310" s="6" t="s">
        <v>1428</v>
      </c>
      <c r="N310" s="6"/>
      <c r="O310" s="6" t="s">
        <v>1429</v>
      </c>
      <c r="P310" s="6" t="s">
        <v>1430</v>
      </c>
    </row>
    <row r="311" customFormat="false" ht="96" hidden="false" customHeight="true" outlineLevel="0" collapsed="false">
      <c r="A311" s="5" t="s">
        <v>1431</v>
      </c>
      <c r="B311" s="6" t="s">
        <v>1210</v>
      </c>
      <c r="C311" s="6" t="s">
        <v>1210</v>
      </c>
      <c r="D311" s="6" t="s">
        <v>22</v>
      </c>
      <c r="E311" s="6" t="s">
        <v>1251</v>
      </c>
      <c r="F311" s="7" t="s">
        <v>1432</v>
      </c>
      <c r="G311" s="7" t="s">
        <v>24</v>
      </c>
      <c r="H311" s="5" t="n">
        <v>4</v>
      </c>
      <c r="I311" s="6"/>
      <c r="J311" s="5" t="n">
        <v>21</v>
      </c>
      <c r="K311" s="6" t="s">
        <v>1433</v>
      </c>
      <c r="L311" s="6" t="s">
        <v>1434</v>
      </c>
      <c r="M311" s="6" t="s">
        <v>1435</v>
      </c>
      <c r="N311" s="6" t="s">
        <v>1436</v>
      </c>
      <c r="O311" s="6" t="s">
        <v>1437</v>
      </c>
      <c r="P311" s="6" t="s">
        <v>1414</v>
      </c>
    </row>
    <row r="312" customFormat="false" ht="96" hidden="false" customHeight="true" outlineLevel="0" collapsed="false">
      <c r="A312" s="5" t="s">
        <v>1438</v>
      </c>
      <c r="B312" s="6" t="s">
        <v>1210</v>
      </c>
      <c r="C312" s="6" t="s">
        <v>1210</v>
      </c>
      <c r="D312" s="6" t="s">
        <v>22</v>
      </c>
      <c r="E312" s="6" t="s">
        <v>1251</v>
      </c>
      <c r="F312" s="7" t="s">
        <v>1439</v>
      </c>
      <c r="G312" s="7" t="s">
        <v>24</v>
      </c>
      <c r="H312" s="5" t="n">
        <v>4</v>
      </c>
      <c r="I312" s="6"/>
      <c r="J312" s="5" t="n">
        <v>28</v>
      </c>
      <c r="K312" s="6" t="s">
        <v>1440</v>
      </c>
      <c r="L312" s="6" t="s">
        <v>1441</v>
      </c>
      <c r="M312" s="6" t="s">
        <v>1442</v>
      </c>
      <c r="N312" s="6" t="s">
        <v>454</v>
      </c>
      <c r="O312" s="6" t="s">
        <v>1443</v>
      </c>
      <c r="P312" s="6"/>
    </row>
    <row r="313" customFormat="false" ht="27.75" hidden="false" customHeight="true" outlineLevel="0" collapsed="false">
      <c r="A313" s="5" t="n">
        <v>46</v>
      </c>
      <c r="B313" s="6" t="s">
        <v>1210</v>
      </c>
      <c r="C313" s="6" t="s">
        <v>1210</v>
      </c>
      <c r="D313" s="6" t="s">
        <v>22</v>
      </c>
      <c r="E313" s="6" t="s">
        <v>1251</v>
      </c>
      <c r="F313" s="7" t="s">
        <v>1444</v>
      </c>
      <c r="G313" s="7" t="s">
        <v>50</v>
      </c>
      <c r="H313" s="5"/>
      <c r="I313" s="6"/>
      <c r="J313" s="5" t="n">
        <v>21</v>
      </c>
      <c r="K313" s="6" t="s">
        <v>51</v>
      </c>
      <c r="L313" s="6"/>
      <c r="M313" s="6" t="s">
        <v>602</v>
      </c>
      <c r="N313" s="6" t="s">
        <v>454</v>
      </c>
      <c r="O313" s="6" t="s">
        <v>1445</v>
      </c>
      <c r="P313" s="6"/>
    </row>
    <row r="314" customFormat="false" ht="96" hidden="false" customHeight="true" outlineLevel="0" collapsed="false">
      <c r="A314" s="5" t="s">
        <v>1446</v>
      </c>
      <c r="B314" s="6" t="s">
        <v>1210</v>
      </c>
      <c r="C314" s="6" t="s">
        <v>1210</v>
      </c>
      <c r="D314" s="6" t="s">
        <v>22</v>
      </c>
      <c r="E314" s="6" t="s">
        <v>1251</v>
      </c>
      <c r="F314" s="7" t="s">
        <v>1447</v>
      </c>
      <c r="G314" s="7" t="s">
        <v>24</v>
      </c>
      <c r="H314" s="5" t="n">
        <v>4</v>
      </c>
      <c r="I314" s="6"/>
      <c r="J314" s="5" t="n">
        <v>28</v>
      </c>
      <c r="K314" s="6" t="s">
        <v>1448</v>
      </c>
      <c r="L314" s="6" t="s">
        <v>1449</v>
      </c>
      <c r="M314" s="6" t="s">
        <v>1450</v>
      </c>
      <c r="N314" s="6" t="s">
        <v>454</v>
      </c>
      <c r="O314" s="6" t="s">
        <v>1451</v>
      </c>
      <c r="P314" s="6"/>
    </row>
    <row r="315" customFormat="false" ht="50.25" hidden="false" customHeight="true" outlineLevel="0" collapsed="false">
      <c r="A315" s="5" t="n">
        <v>45</v>
      </c>
      <c r="B315" s="6" t="s">
        <v>1210</v>
      </c>
      <c r="C315" s="6" t="s">
        <v>1210</v>
      </c>
      <c r="D315" s="6" t="s">
        <v>22</v>
      </c>
      <c r="E315" s="6" t="s">
        <v>1251</v>
      </c>
      <c r="F315" s="7" t="s">
        <v>1452</v>
      </c>
      <c r="G315" s="7" t="s">
        <v>31</v>
      </c>
      <c r="H315" s="5" t="n">
        <v>3</v>
      </c>
      <c r="I315" s="6"/>
      <c r="J315" s="5" t="n">
        <v>21</v>
      </c>
      <c r="K315" s="6" t="s">
        <v>37</v>
      </c>
      <c r="L315" s="6" t="s">
        <v>1453</v>
      </c>
      <c r="M315" s="6" t="s">
        <v>1454</v>
      </c>
      <c r="N315" s="6"/>
      <c r="O315" s="6" t="s">
        <v>1455</v>
      </c>
      <c r="P315" s="6" t="s">
        <v>1456</v>
      </c>
    </row>
    <row r="316" customFormat="false" ht="61.5" hidden="false" customHeight="true" outlineLevel="0" collapsed="false">
      <c r="A316" s="5" t="n">
        <v>305</v>
      </c>
      <c r="B316" s="6" t="s">
        <v>1210</v>
      </c>
      <c r="C316" s="6" t="s">
        <v>1210</v>
      </c>
      <c r="D316" s="6" t="s">
        <v>22</v>
      </c>
      <c r="E316" s="6" t="s">
        <v>1251</v>
      </c>
      <c r="F316" s="7" t="s">
        <v>1457</v>
      </c>
      <c r="G316" s="7" t="s">
        <v>50</v>
      </c>
      <c r="H316" s="5"/>
      <c r="I316" s="6"/>
      <c r="J316" s="5" t="n">
        <v>21</v>
      </c>
      <c r="K316" s="6" t="s">
        <v>51</v>
      </c>
      <c r="L316" s="6"/>
      <c r="M316" s="6" t="s">
        <v>362</v>
      </c>
      <c r="N316" s="6" t="s">
        <v>454</v>
      </c>
      <c r="O316" s="6" t="s">
        <v>1458</v>
      </c>
      <c r="P316" s="6" t="s">
        <v>1414</v>
      </c>
    </row>
    <row r="317" customFormat="false" ht="27.75" hidden="false" customHeight="true" outlineLevel="0" collapsed="false">
      <c r="A317" s="5" t="n">
        <v>49</v>
      </c>
      <c r="B317" s="6" t="s">
        <v>1210</v>
      </c>
      <c r="C317" s="6" t="s">
        <v>1210</v>
      </c>
      <c r="D317" s="6" t="s">
        <v>22</v>
      </c>
      <c r="E317" s="6" t="s">
        <v>1251</v>
      </c>
      <c r="F317" s="7" t="s">
        <v>1459</v>
      </c>
      <c r="G317" s="7" t="s">
        <v>31</v>
      </c>
      <c r="H317" s="5" t="n">
        <v>3</v>
      </c>
      <c r="I317" s="6"/>
      <c r="J317" s="5" t="n">
        <v>21</v>
      </c>
      <c r="K317" s="6" t="s">
        <v>87</v>
      </c>
      <c r="L317" s="6" t="s">
        <v>1460</v>
      </c>
      <c r="M317" s="6" t="s">
        <v>1268</v>
      </c>
      <c r="N317" s="6"/>
      <c r="O317" s="6" t="s">
        <v>1461</v>
      </c>
      <c r="P317" s="6"/>
    </row>
    <row r="318" customFormat="false" ht="84.75" hidden="false" customHeight="true" outlineLevel="0" collapsed="false">
      <c r="A318" s="5" t="s">
        <v>1462</v>
      </c>
      <c r="B318" s="6" t="s">
        <v>1210</v>
      </c>
      <c r="C318" s="6" t="s">
        <v>1210</v>
      </c>
      <c r="D318" s="6" t="s">
        <v>22</v>
      </c>
      <c r="E318" s="6" t="s">
        <v>1251</v>
      </c>
      <c r="F318" s="7" t="s">
        <v>1463</v>
      </c>
      <c r="G318" s="7" t="s">
        <v>24</v>
      </c>
      <c r="H318" s="5" t="n">
        <v>3</v>
      </c>
      <c r="I318" s="6"/>
      <c r="J318" s="5" t="n">
        <v>28</v>
      </c>
      <c r="K318" s="6" t="s">
        <v>1464</v>
      </c>
      <c r="L318" s="6" t="s">
        <v>1465</v>
      </c>
      <c r="M318" s="6" t="s">
        <v>427</v>
      </c>
      <c r="N318" s="6"/>
      <c r="O318" s="6" t="s">
        <v>1466</v>
      </c>
      <c r="P318" s="6" t="s">
        <v>1414</v>
      </c>
    </row>
    <row r="319" customFormat="false" ht="84.75" hidden="false" customHeight="true" outlineLevel="0" collapsed="false">
      <c r="A319" s="5" t="n">
        <v>51</v>
      </c>
      <c r="B319" s="6" t="s">
        <v>1210</v>
      </c>
      <c r="C319" s="6" t="s">
        <v>1210</v>
      </c>
      <c r="D319" s="6" t="s">
        <v>22</v>
      </c>
      <c r="E319" s="6" t="s">
        <v>1251</v>
      </c>
      <c r="F319" s="7" t="s">
        <v>1467</v>
      </c>
      <c r="G319" s="7" t="s">
        <v>31</v>
      </c>
      <c r="H319" s="5" t="n">
        <v>2</v>
      </c>
      <c r="I319" s="6"/>
      <c r="J319" s="5" t="n">
        <v>21</v>
      </c>
      <c r="K319" s="6" t="s">
        <v>1468</v>
      </c>
      <c r="L319" s="6" t="s">
        <v>1469</v>
      </c>
      <c r="M319" s="6" t="s">
        <v>314</v>
      </c>
      <c r="N319" s="6" t="s">
        <v>1044</v>
      </c>
      <c r="O319" s="6" t="s">
        <v>1470</v>
      </c>
      <c r="P319" s="6"/>
    </row>
    <row r="320" customFormat="false" ht="107.25" hidden="false" customHeight="true" outlineLevel="0" collapsed="false">
      <c r="A320" s="5" t="s">
        <v>1471</v>
      </c>
      <c r="B320" s="6" t="s">
        <v>1210</v>
      </c>
      <c r="C320" s="6" t="s">
        <v>1210</v>
      </c>
      <c r="D320" s="6" t="s">
        <v>22</v>
      </c>
      <c r="E320" s="6" t="s">
        <v>1251</v>
      </c>
      <c r="F320" s="7" t="s">
        <v>1472</v>
      </c>
      <c r="G320" s="7" t="s">
        <v>24</v>
      </c>
      <c r="H320" s="5" t="n">
        <v>4</v>
      </c>
      <c r="I320" s="6"/>
      <c r="J320" s="5" t="n">
        <v>28</v>
      </c>
      <c r="K320" s="6" t="s">
        <v>1473</v>
      </c>
      <c r="L320" s="6" t="s">
        <v>1474</v>
      </c>
      <c r="M320" s="6" t="s">
        <v>621</v>
      </c>
      <c r="N320" s="6"/>
      <c r="O320" s="6" t="s">
        <v>1475</v>
      </c>
      <c r="P320" s="6" t="s">
        <v>1414</v>
      </c>
    </row>
    <row r="321" customFormat="false" ht="72.75" hidden="false" customHeight="true" outlineLevel="0" collapsed="false">
      <c r="A321" s="5" t="s">
        <v>1476</v>
      </c>
      <c r="B321" s="6" t="s">
        <v>1210</v>
      </c>
      <c r="C321" s="6" t="s">
        <v>1210</v>
      </c>
      <c r="D321" s="6" t="s">
        <v>22</v>
      </c>
      <c r="E321" s="6" t="s">
        <v>1251</v>
      </c>
      <c r="F321" s="7" t="s">
        <v>1477</v>
      </c>
      <c r="G321" s="7" t="s">
        <v>24</v>
      </c>
      <c r="H321" s="5" t="n">
        <v>3</v>
      </c>
      <c r="I321" s="6"/>
      <c r="J321" s="5" t="n">
        <v>28</v>
      </c>
      <c r="K321" s="6" t="s">
        <v>686</v>
      </c>
      <c r="L321" s="6" t="s">
        <v>1478</v>
      </c>
      <c r="M321" s="6" t="s">
        <v>1479</v>
      </c>
      <c r="N321" s="6"/>
      <c r="O321" s="6" t="s">
        <v>544</v>
      </c>
      <c r="P321" s="6" t="s">
        <v>879</v>
      </c>
    </row>
    <row r="322" customFormat="false" ht="39" hidden="false" customHeight="true" outlineLevel="0" collapsed="false">
      <c r="A322" s="5" t="n">
        <v>80</v>
      </c>
      <c r="B322" s="6" t="s">
        <v>1210</v>
      </c>
      <c r="C322" s="6" t="s">
        <v>1210</v>
      </c>
      <c r="D322" s="6" t="s">
        <v>22</v>
      </c>
      <c r="E322" s="6" t="s">
        <v>1251</v>
      </c>
      <c r="F322" s="7" t="s">
        <v>1480</v>
      </c>
      <c r="G322" s="7" t="s">
        <v>50</v>
      </c>
      <c r="H322" s="5"/>
      <c r="I322" s="6"/>
      <c r="J322" s="5" t="n">
        <v>21</v>
      </c>
      <c r="K322" s="6" t="s">
        <v>51</v>
      </c>
      <c r="L322" s="6"/>
      <c r="M322" s="6" t="s">
        <v>1479</v>
      </c>
      <c r="N322" s="6"/>
      <c r="O322" s="6" t="s">
        <v>1481</v>
      </c>
      <c r="P322" s="6" t="s">
        <v>879</v>
      </c>
    </row>
    <row r="323" customFormat="false" ht="61.5" hidden="false" customHeight="true" outlineLevel="0" collapsed="false">
      <c r="A323" s="5" t="s">
        <v>1482</v>
      </c>
      <c r="B323" s="6" t="s">
        <v>1210</v>
      </c>
      <c r="C323" s="6" t="s">
        <v>1210</v>
      </c>
      <c r="D323" s="6" t="s">
        <v>22</v>
      </c>
      <c r="E323" s="6" t="s">
        <v>1279</v>
      </c>
      <c r="F323" s="7" t="s">
        <v>1483</v>
      </c>
      <c r="G323" s="7" t="s">
        <v>24</v>
      </c>
      <c r="H323" s="5" t="n">
        <v>4</v>
      </c>
      <c r="I323" s="6"/>
      <c r="J323" s="5" t="n">
        <v>28</v>
      </c>
      <c r="K323" s="6" t="s">
        <v>1484</v>
      </c>
      <c r="L323" s="6" t="s">
        <v>1485</v>
      </c>
      <c r="M323" s="6"/>
      <c r="N323" s="6"/>
      <c r="O323" s="6" t="s">
        <v>1486</v>
      </c>
      <c r="P323" s="6"/>
    </row>
    <row r="324" customFormat="false" ht="27.75" hidden="false" customHeight="true" outlineLevel="0" collapsed="false">
      <c r="A324" s="5" t="n">
        <v>68</v>
      </c>
      <c r="B324" s="6" t="s">
        <v>1210</v>
      </c>
      <c r="C324" s="6" t="s">
        <v>1210</v>
      </c>
      <c r="D324" s="6" t="s">
        <v>22</v>
      </c>
      <c r="E324" s="6" t="s">
        <v>1279</v>
      </c>
      <c r="F324" s="7" t="s">
        <v>1487</v>
      </c>
      <c r="G324" s="7" t="s">
        <v>50</v>
      </c>
      <c r="H324" s="5"/>
      <c r="I324" s="6"/>
      <c r="J324" s="5" t="n">
        <v>28</v>
      </c>
      <c r="K324" s="6" t="s">
        <v>51</v>
      </c>
      <c r="L324" s="6"/>
      <c r="M324" s="6"/>
      <c r="N324" s="6"/>
      <c r="O324" s="6" t="s">
        <v>1488</v>
      </c>
      <c r="P324" s="6"/>
    </row>
    <row r="325" customFormat="false" ht="84.75" hidden="false" customHeight="true" outlineLevel="0" collapsed="false">
      <c r="A325" s="5" t="s">
        <v>1489</v>
      </c>
      <c r="B325" s="6" t="s">
        <v>1210</v>
      </c>
      <c r="C325" s="6" t="s">
        <v>1210</v>
      </c>
      <c r="D325" s="6" t="s">
        <v>22</v>
      </c>
      <c r="E325" s="6" t="s">
        <v>1490</v>
      </c>
      <c r="F325" s="7" t="s">
        <v>1491</v>
      </c>
      <c r="G325" s="7" t="s">
        <v>24</v>
      </c>
      <c r="H325" s="5" t="n">
        <v>4</v>
      </c>
      <c r="I325" s="6"/>
      <c r="J325" s="5" t="n">
        <v>28</v>
      </c>
      <c r="K325" s="6" t="s">
        <v>1492</v>
      </c>
      <c r="L325" s="6" t="s">
        <v>1493</v>
      </c>
      <c r="M325" s="6"/>
      <c r="N325" s="6"/>
      <c r="O325" s="6" t="s">
        <v>1494</v>
      </c>
      <c r="P325" s="6"/>
    </row>
    <row r="326" customFormat="false" ht="27.75" hidden="false" customHeight="true" outlineLevel="0" collapsed="false">
      <c r="A326" s="5" t="n">
        <v>76</v>
      </c>
      <c r="B326" s="6" t="s">
        <v>1210</v>
      </c>
      <c r="C326" s="6" t="s">
        <v>1210</v>
      </c>
      <c r="D326" s="6" t="s">
        <v>22</v>
      </c>
      <c r="E326" s="6" t="s">
        <v>1490</v>
      </c>
      <c r="F326" s="7" t="s">
        <v>1495</v>
      </c>
      <c r="G326" s="7" t="s">
        <v>50</v>
      </c>
      <c r="H326" s="5"/>
      <c r="I326" s="6"/>
      <c r="J326" s="5" t="n">
        <v>28</v>
      </c>
      <c r="K326" s="6" t="s">
        <v>51</v>
      </c>
      <c r="L326" s="6"/>
      <c r="M326" s="6"/>
      <c r="N326" s="6"/>
      <c r="O326" s="6" t="s">
        <v>1496</v>
      </c>
      <c r="P326" s="6"/>
    </row>
    <row r="327" customFormat="false" ht="27.75" hidden="false" customHeight="true" outlineLevel="0" collapsed="false">
      <c r="A327" s="5" t="n">
        <v>70</v>
      </c>
      <c r="B327" s="6" t="s">
        <v>1210</v>
      </c>
      <c r="C327" s="6" t="s">
        <v>1210</v>
      </c>
      <c r="D327" s="6" t="s">
        <v>22</v>
      </c>
      <c r="E327" s="6" t="s">
        <v>1490</v>
      </c>
      <c r="F327" s="7" t="s">
        <v>1497</v>
      </c>
      <c r="G327" s="7" t="s">
        <v>50</v>
      </c>
      <c r="H327" s="5"/>
      <c r="I327" s="6"/>
      <c r="J327" s="5" t="n">
        <v>28</v>
      </c>
      <c r="K327" s="6" t="s">
        <v>51</v>
      </c>
      <c r="L327" s="6"/>
      <c r="M327" s="6"/>
      <c r="N327" s="6"/>
      <c r="O327" s="6" t="s">
        <v>1498</v>
      </c>
      <c r="P327" s="6"/>
    </row>
    <row r="328" customFormat="false" ht="27.75" hidden="false" customHeight="true" outlineLevel="0" collapsed="false">
      <c r="A328" s="5" t="n">
        <v>73</v>
      </c>
      <c r="B328" s="6" t="s">
        <v>1210</v>
      </c>
      <c r="C328" s="6" t="s">
        <v>1210</v>
      </c>
      <c r="D328" s="6" t="s">
        <v>22</v>
      </c>
      <c r="E328" s="6" t="s">
        <v>1490</v>
      </c>
      <c r="F328" s="7" t="s">
        <v>1499</v>
      </c>
      <c r="G328" s="7" t="s">
        <v>50</v>
      </c>
      <c r="H328" s="5"/>
      <c r="I328" s="6"/>
      <c r="J328" s="5" t="n">
        <v>28</v>
      </c>
      <c r="K328" s="6" t="s">
        <v>51</v>
      </c>
      <c r="L328" s="6"/>
      <c r="M328" s="6"/>
      <c r="N328" s="6"/>
      <c r="O328" s="6" t="s">
        <v>1500</v>
      </c>
      <c r="P328" s="6"/>
    </row>
    <row r="329" customFormat="false" ht="27.75" hidden="false" customHeight="true" outlineLevel="0" collapsed="false">
      <c r="A329" s="5" t="n">
        <v>77</v>
      </c>
      <c r="B329" s="6" t="s">
        <v>1210</v>
      </c>
      <c r="C329" s="6" t="s">
        <v>1210</v>
      </c>
      <c r="D329" s="6" t="s">
        <v>22</v>
      </c>
      <c r="E329" s="6" t="s">
        <v>1490</v>
      </c>
      <c r="F329" s="7" t="s">
        <v>1501</v>
      </c>
      <c r="G329" s="7" t="s">
        <v>50</v>
      </c>
      <c r="H329" s="5"/>
      <c r="I329" s="6"/>
      <c r="J329" s="5" t="n">
        <v>28</v>
      </c>
      <c r="K329" s="6" t="s">
        <v>51</v>
      </c>
      <c r="L329" s="6"/>
      <c r="M329" s="6"/>
      <c r="N329" s="6"/>
      <c r="O329" s="6" t="s">
        <v>1502</v>
      </c>
      <c r="P329" s="6"/>
    </row>
    <row r="330" customFormat="false" ht="27.75" hidden="false" customHeight="true" outlineLevel="0" collapsed="false">
      <c r="A330" s="5" t="n">
        <v>71</v>
      </c>
      <c r="B330" s="6" t="s">
        <v>1210</v>
      </c>
      <c r="C330" s="6" t="s">
        <v>1210</v>
      </c>
      <c r="D330" s="6" t="s">
        <v>22</v>
      </c>
      <c r="E330" s="6" t="s">
        <v>1490</v>
      </c>
      <c r="F330" s="7" t="s">
        <v>1503</v>
      </c>
      <c r="G330" s="7" t="s">
        <v>50</v>
      </c>
      <c r="H330" s="5"/>
      <c r="I330" s="6"/>
      <c r="J330" s="5" t="n">
        <v>28</v>
      </c>
      <c r="K330" s="6" t="s">
        <v>51</v>
      </c>
      <c r="L330" s="6"/>
      <c r="M330" s="6"/>
      <c r="N330" s="6"/>
      <c r="O330" s="6" t="s">
        <v>1504</v>
      </c>
      <c r="P330" s="6"/>
    </row>
    <row r="331" customFormat="false" ht="27.75" hidden="false" customHeight="true" outlineLevel="0" collapsed="false">
      <c r="A331" s="5" t="n">
        <v>74</v>
      </c>
      <c r="B331" s="6" t="s">
        <v>1210</v>
      </c>
      <c r="C331" s="6" t="s">
        <v>1210</v>
      </c>
      <c r="D331" s="6" t="s">
        <v>22</v>
      </c>
      <c r="E331" s="6" t="s">
        <v>1490</v>
      </c>
      <c r="F331" s="7" t="s">
        <v>1505</v>
      </c>
      <c r="G331" s="7" t="s">
        <v>50</v>
      </c>
      <c r="H331" s="5"/>
      <c r="I331" s="6"/>
      <c r="J331" s="5" t="n">
        <v>28</v>
      </c>
      <c r="K331" s="6" t="s">
        <v>51</v>
      </c>
      <c r="L331" s="6"/>
      <c r="M331" s="6"/>
      <c r="N331" s="6"/>
      <c r="O331" s="6" t="s">
        <v>1506</v>
      </c>
      <c r="P331" s="6"/>
    </row>
    <row r="332" customFormat="false" ht="27.75" hidden="false" customHeight="true" outlineLevel="0" collapsed="false">
      <c r="A332" s="5" t="n">
        <v>48</v>
      </c>
      <c r="B332" s="6" t="s">
        <v>1210</v>
      </c>
      <c r="C332" s="6" t="s">
        <v>1210</v>
      </c>
      <c r="D332" s="6" t="s">
        <v>22</v>
      </c>
      <c r="E332" s="6" t="s">
        <v>1490</v>
      </c>
      <c r="F332" s="7" t="s">
        <v>1507</v>
      </c>
      <c r="G332" s="7" t="s">
        <v>50</v>
      </c>
      <c r="H332" s="5"/>
      <c r="I332" s="6"/>
      <c r="J332" s="5" t="n">
        <v>28</v>
      </c>
      <c r="K332" s="6" t="s">
        <v>51</v>
      </c>
      <c r="L332" s="6"/>
      <c r="M332" s="6" t="s">
        <v>1305</v>
      </c>
      <c r="N332" s="6"/>
      <c r="O332" s="6" t="s">
        <v>1508</v>
      </c>
      <c r="P332" s="6"/>
    </row>
    <row r="333" customFormat="false" ht="27.75" hidden="false" customHeight="true" outlineLevel="0" collapsed="false">
      <c r="A333" s="5" t="n">
        <v>41</v>
      </c>
      <c r="B333" s="6" t="s">
        <v>1210</v>
      </c>
      <c r="C333" s="6" t="s">
        <v>1210</v>
      </c>
      <c r="D333" s="6" t="s">
        <v>22</v>
      </c>
      <c r="E333" s="6" t="s">
        <v>1490</v>
      </c>
      <c r="F333" s="7" t="s">
        <v>1509</v>
      </c>
      <c r="G333" s="7" t="s">
        <v>395</v>
      </c>
      <c r="H333" s="5" t="n">
        <v>1</v>
      </c>
      <c r="I333" s="6"/>
      <c r="J333" s="5" t="n">
        <v>28</v>
      </c>
      <c r="K333" s="6" t="s">
        <v>1510</v>
      </c>
      <c r="L333" s="6" t="s">
        <v>1511</v>
      </c>
      <c r="M333" s="6"/>
      <c r="N333" s="6"/>
      <c r="O333" s="6" t="s">
        <v>1512</v>
      </c>
      <c r="P333" s="6"/>
    </row>
    <row r="334" customFormat="false" ht="27.75" hidden="false" customHeight="true" outlineLevel="0" collapsed="false">
      <c r="A334" s="5" t="n">
        <v>75</v>
      </c>
      <c r="B334" s="6" t="s">
        <v>1210</v>
      </c>
      <c r="C334" s="6" t="s">
        <v>1210</v>
      </c>
      <c r="D334" s="6" t="s">
        <v>22</v>
      </c>
      <c r="E334" s="6" t="s">
        <v>1490</v>
      </c>
      <c r="F334" s="7" t="s">
        <v>1513</v>
      </c>
      <c r="G334" s="7" t="s">
        <v>50</v>
      </c>
      <c r="H334" s="5"/>
      <c r="I334" s="6"/>
      <c r="J334" s="5" t="n">
        <v>28</v>
      </c>
      <c r="K334" s="6" t="s">
        <v>51</v>
      </c>
      <c r="L334" s="6"/>
      <c r="M334" s="6"/>
      <c r="N334" s="6"/>
      <c r="O334" s="6" t="s">
        <v>1496</v>
      </c>
      <c r="P334" s="6"/>
    </row>
    <row r="335" customFormat="false" ht="27.75" hidden="false" customHeight="true" outlineLevel="0" collapsed="false">
      <c r="A335" s="5" t="n">
        <v>69</v>
      </c>
      <c r="B335" s="6" t="s">
        <v>1210</v>
      </c>
      <c r="C335" s="6" t="s">
        <v>1210</v>
      </c>
      <c r="D335" s="6" t="s">
        <v>22</v>
      </c>
      <c r="E335" s="6" t="s">
        <v>1490</v>
      </c>
      <c r="F335" s="7" t="s">
        <v>1514</v>
      </c>
      <c r="G335" s="7" t="s">
        <v>50</v>
      </c>
      <c r="H335" s="5"/>
      <c r="I335" s="6"/>
      <c r="J335" s="5" t="n">
        <v>28</v>
      </c>
      <c r="K335" s="6" t="s">
        <v>51</v>
      </c>
      <c r="L335" s="6"/>
      <c r="M335" s="6"/>
      <c r="N335" s="6"/>
      <c r="O335" s="6" t="s">
        <v>1515</v>
      </c>
      <c r="P335" s="6"/>
    </row>
    <row r="336" customFormat="false" ht="27.75" hidden="false" customHeight="true" outlineLevel="0" collapsed="false">
      <c r="A336" s="5" t="n">
        <v>72</v>
      </c>
      <c r="B336" s="6" t="s">
        <v>1210</v>
      </c>
      <c r="C336" s="6" t="s">
        <v>1210</v>
      </c>
      <c r="D336" s="6" t="s">
        <v>22</v>
      </c>
      <c r="E336" s="6" t="s">
        <v>1490</v>
      </c>
      <c r="F336" s="7" t="s">
        <v>1516</v>
      </c>
      <c r="G336" s="7" t="s">
        <v>50</v>
      </c>
      <c r="H336" s="5"/>
      <c r="I336" s="6"/>
      <c r="J336" s="5" t="n">
        <v>28</v>
      </c>
      <c r="K336" s="6" t="s">
        <v>51</v>
      </c>
      <c r="L336" s="6"/>
      <c r="M336" s="6"/>
      <c r="N336" s="6"/>
      <c r="O336" s="6" t="s">
        <v>1517</v>
      </c>
      <c r="P336" s="6"/>
    </row>
    <row r="337" customFormat="false" ht="27.75" hidden="false" customHeight="true" outlineLevel="0" collapsed="false">
      <c r="A337" s="5" t="n">
        <v>39</v>
      </c>
      <c r="B337" s="6" t="s">
        <v>1210</v>
      </c>
      <c r="C337" s="6" t="s">
        <v>1210</v>
      </c>
      <c r="D337" s="6" t="s">
        <v>22</v>
      </c>
      <c r="E337" s="6" t="s">
        <v>1490</v>
      </c>
      <c r="F337" s="7" t="s">
        <v>1518</v>
      </c>
      <c r="G337" s="7" t="s">
        <v>395</v>
      </c>
      <c r="H337" s="5" t="n">
        <v>1</v>
      </c>
      <c r="I337" s="6"/>
      <c r="J337" s="5" t="n">
        <v>28</v>
      </c>
      <c r="K337" s="6" t="s">
        <v>1510</v>
      </c>
      <c r="L337" s="6" t="s">
        <v>1511</v>
      </c>
      <c r="M337" s="6"/>
      <c r="N337" s="6"/>
      <c r="O337" s="6" t="s">
        <v>1519</v>
      </c>
      <c r="P337" s="6"/>
    </row>
    <row r="338" customFormat="false" ht="50.25" hidden="false" customHeight="true" outlineLevel="0" collapsed="false">
      <c r="A338" s="5" t="n">
        <v>40</v>
      </c>
      <c r="B338" s="6" t="s">
        <v>1210</v>
      </c>
      <c r="C338" s="6" t="s">
        <v>1210</v>
      </c>
      <c r="D338" s="6" t="s">
        <v>22</v>
      </c>
      <c r="E338" s="6" t="s">
        <v>1490</v>
      </c>
      <c r="F338" s="7" t="s">
        <v>1520</v>
      </c>
      <c r="G338" s="7" t="s">
        <v>31</v>
      </c>
      <c r="H338" s="5" t="n">
        <v>3</v>
      </c>
      <c r="I338" s="6"/>
      <c r="J338" s="5" t="n">
        <v>28</v>
      </c>
      <c r="K338" s="6" t="s">
        <v>1521</v>
      </c>
      <c r="L338" s="6" t="s">
        <v>1522</v>
      </c>
      <c r="M338" s="6"/>
      <c r="N338" s="6"/>
      <c r="O338" s="6" t="s">
        <v>1523</v>
      </c>
      <c r="P338" s="6"/>
    </row>
    <row r="339" customFormat="false" ht="50.25" hidden="false" customHeight="true" outlineLevel="0" collapsed="false">
      <c r="A339" s="5" t="n">
        <v>38</v>
      </c>
      <c r="B339" s="6" t="s">
        <v>1210</v>
      </c>
      <c r="C339" s="6" t="s">
        <v>1210</v>
      </c>
      <c r="D339" s="6" t="s">
        <v>22</v>
      </c>
      <c r="E339" s="6" t="s">
        <v>1490</v>
      </c>
      <c r="F339" s="7" t="s">
        <v>1524</v>
      </c>
      <c r="G339" s="7" t="s">
        <v>395</v>
      </c>
      <c r="H339" s="5" t="n">
        <v>1</v>
      </c>
      <c r="I339" s="6"/>
      <c r="J339" s="5" t="n">
        <v>28</v>
      </c>
      <c r="K339" s="6" t="s">
        <v>1525</v>
      </c>
      <c r="L339" s="6" t="s">
        <v>1526</v>
      </c>
      <c r="M339" s="6"/>
      <c r="N339" s="6"/>
      <c r="O339" s="6" t="s">
        <v>1527</v>
      </c>
      <c r="P339" s="6"/>
    </row>
    <row r="340" customFormat="false" ht="96" hidden="false" customHeight="true" outlineLevel="0" collapsed="false">
      <c r="A340" s="5" t="s">
        <v>1528</v>
      </c>
      <c r="B340" s="6" t="s">
        <v>1210</v>
      </c>
      <c r="C340" s="6" t="s">
        <v>1210</v>
      </c>
      <c r="D340" s="6" t="s">
        <v>22</v>
      </c>
      <c r="E340" s="6" t="s">
        <v>1529</v>
      </c>
      <c r="F340" s="7" t="s">
        <v>1530</v>
      </c>
      <c r="G340" s="7" t="s">
        <v>24</v>
      </c>
      <c r="H340" s="5" t="n">
        <v>4</v>
      </c>
      <c r="I340" s="6"/>
      <c r="J340" s="5" t="n">
        <v>28</v>
      </c>
      <c r="K340" s="6" t="s">
        <v>1531</v>
      </c>
      <c r="L340" s="6" t="s">
        <v>1532</v>
      </c>
      <c r="M340" s="6"/>
      <c r="N340" s="6"/>
      <c r="O340" s="6" t="s">
        <v>1533</v>
      </c>
      <c r="P340" s="6"/>
    </row>
    <row r="341" customFormat="false" ht="39" hidden="false" customHeight="true" outlineLevel="0" collapsed="false">
      <c r="A341" s="5" t="n">
        <v>78</v>
      </c>
      <c r="B341" s="6" t="s">
        <v>1210</v>
      </c>
      <c r="C341" s="6" t="s">
        <v>1210</v>
      </c>
      <c r="D341" s="6" t="s">
        <v>22</v>
      </c>
      <c r="E341" s="6" t="s">
        <v>1529</v>
      </c>
      <c r="F341" s="7" t="s">
        <v>1534</v>
      </c>
      <c r="G341" s="7" t="s">
        <v>50</v>
      </c>
      <c r="H341" s="5"/>
      <c r="I341" s="6"/>
      <c r="J341" s="5" t="n">
        <v>28</v>
      </c>
      <c r="K341" s="6" t="s">
        <v>51</v>
      </c>
      <c r="L341" s="6"/>
      <c r="M341" s="6"/>
      <c r="N341" s="6"/>
      <c r="O341" s="6" t="s">
        <v>1535</v>
      </c>
      <c r="P341" s="6"/>
    </row>
    <row r="342" customFormat="false" ht="39" hidden="false" customHeight="true" outlineLevel="0" collapsed="false">
      <c r="A342" s="5" t="n">
        <v>79</v>
      </c>
      <c r="B342" s="6" t="s">
        <v>1210</v>
      </c>
      <c r="C342" s="6" t="s">
        <v>1210</v>
      </c>
      <c r="D342" s="6" t="s">
        <v>22</v>
      </c>
      <c r="E342" s="6" t="s">
        <v>1529</v>
      </c>
      <c r="F342" s="7" t="s">
        <v>1536</v>
      </c>
      <c r="G342" s="7" t="s">
        <v>50</v>
      </c>
      <c r="H342" s="5"/>
      <c r="I342" s="6"/>
      <c r="J342" s="5" t="n">
        <v>28</v>
      </c>
      <c r="K342" s="6" t="s">
        <v>51</v>
      </c>
      <c r="L342" s="6"/>
      <c r="M342" s="6"/>
      <c r="N342" s="6"/>
      <c r="O342" s="6" t="s">
        <v>1537</v>
      </c>
      <c r="P342" s="6"/>
    </row>
    <row r="343" customFormat="false" ht="118.5" hidden="false" customHeight="true" outlineLevel="0" collapsed="false">
      <c r="A343" s="5" t="s">
        <v>1538</v>
      </c>
      <c r="B343" s="6" t="s">
        <v>1210</v>
      </c>
      <c r="C343" s="6" t="s">
        <v>1210</v>
      </c>
      <c r="D343" s="6" t="s">
        <v>22</v>
      </c>
      <c r="E343" s="6" t="s">
        <v>1309</v>
      </c>
      <c r="F343" s="7" t="s">
        <v>1539</v>
      </c>
      <c r="G343" s="7" t="s">
        <v>24</v>
      </c>
      <c r="H343" s="5" t="n">
        <v>3</v>
      </c>
      <c r="I343" s="6"/>
      <c r="J343" s="5" t="n">
        <v>21</v>
      </c>
      <c r="K343" s="6" t="s">
        <v>1540</v>
      </c>
      <c r="L343" s="6" t="s">
        <v>1541</v>
      </c>
      <c r="M343" s="6" t="s">
        <v>1542</v>
      </c>
      <c r="N343" s="6" t="s">
        <v>454</v>
      </c>
      <c r="O343" s="6" t="s">
        <v>1543</v>
      </c>
      <c r="P343" s="6"/>
    </row>
    <row r="344" customFormat="false" ht="118.5" hidden="false" customHeight="true" outlineLevel="0" collapsed="false">
      <c r="A344" s="5" t="s">
        <v>1544</v>
      </c>
      <c r="B344" s="6" t="s">
        <v>1210</v>
      </c>
      <c r="C344" s="6" t="s">
        <v>1210</v>
      </c>
      <c r="D344" s="6" t="s">
        <v>22</v>
      </c>
      <c r="E344" s="6" t="s">
        <v>1309</v>
      </c>
      <c r="F344" s="7" t="s">
        <v>1545</v>
      </c>
      <c r="G344" s="7" t="s">
        <v>24</v>
      </c>
      <c r="H344" s="5" t="n">
        <v>3</v>
      </c>
      <c r="I344" s="6"/>
      <c r="J344" s="5" t="n">
        <v>84</v>
      </c>
      <c r="K344" s="6" t="s">
        <v>1540</v>
      </c>
      <c r="L344" s="6" t="s">
        <v>1546</v>
      </c>
      <c r="M344" s="6" t="s">
        <v>1547</v>
      </c>
      <c r="N344" s="6"/>
      <c r="O344" s="6" t="s">
        <v>1543</v>
      </c>
      <c r="P344" s="6"/>
    </row>
    <row r="345" customFormat="false" ht="96" hidden="false" customHeight="true" outlineLevel="0" collapsed="false">
      <c r="A345" s="5" t="n">
        <v>89</v>
      </c>
      <c r="B345" s="6" t="s">
        <v>1210</v>
      </c>
      <c r="C345" s="6" t="s">
        <v>1210</v>
      </c>
      <c r="D345" s="6" t="s">
        <v>22</v>
      </c>
      <c r="E345" s="6" t="s">
        <v>1309</v>
      </c>
      <c r="F345" s="7" t="s">
        <v>1548</v>
      </c>
      <c r="G345" s="7" t="s">
        <v>331</v>
      </c>
      <c r="H345" s="5" t="n">
        <v>1</v>
      </c>
      <c r="I345" s="6"/>
      <c r="J345" s="5" t="n">
        <v>21</v>
      </c>
      <c r="K345" s="6" t="s">
        <v>1549</v>
      </c>
      <c r="L345" s="6" t="s">
        <v>1550</v>
      </c>
      <c r="M345" s="6" t="s">
        <v>1547</v>
      </c>
      <c r="N345" s="6"/>
      <c r="O345" s="6" t="s">
        <v>1551</v>
      </c>
      <c r="P345" s="6"/>
    </row>
    <row r="346" customFormat="false" ht="61.5" hidden="false" customHeight="true" outlineLevel="0" collapsed="false">
      <c r="A346" s="5" t="s">
        <v>1552</v>
      </c>
      <c r="B346" s="6" t="s">
        <v>1553</v>
      </c>
      <c r="C346" s="6" t="s">
        <v>1554</v>
      </c>
      <c r="D346" s="6" t="s">
        <v>78</v>
      </c>
      <c r="E346" s="6"/>
      <c r="F346" s="7" t="s">
        <v>1555</v>
      </c>
      <c r="G346" s="7" t="s">
        <v>24</v>
      </c>
      <c r="H346" s="5" t="n">
        <v>3</v>
      </c>
      <c r="I346" s="6"/>
      <c r="J346" s="5" t="n">
        <v>28</v>
      </c>
      <c r="K346" s="6" t="s">
        <v>1556</v>
      </c>
      <c r="L346" s="6" t="s">
        <v>1557</v>
      </c>
      <c r="M346" s="6" t="s">
        <v>45</v>
      </c>
      <c r="N346" s="6" t="s">
        <v>40</v>
      </c>
      <c r="O346" s="6" t="s">
        <v>1558</v>
      </c>
      <c r="P346" s="6"/>
    </row>
    <row r="347" customFormat="false" ht="153" hidden="false" customHeight="true" outlineLevel="0" collapsed="false">
      <c r="A347" s="5" t="s">
        <v>1559</v>
      </c>
      <c r="B347" s="6" t="s">
        <v>1553</v>
      </c>
      <c r="C347" s="6" t="s">
        <v>1554</v>
      </c>
      <c r="D347" s="6" t="s">
        <v>78</v>
      </c>
      <c r="E347" s="6"/>
      <c r="F347" s="7" t="s">
        <v>1560</v>
      </c>
      <c r="G347" s="7" t="s">
        <v>24</v>
      </c>
      <c r="H347" s="5" t="n">
        <v>3</v>
      </c>
      <c r="I347" s="6"/>
      <c r="J347" s="5" t="n">
        <v>28</v>
      </c>
      <c r="K347" s="6" t="s">
        <v>1561</v>
      </c>
      <c r="L347" s="6" t="s">
        <v>1562</v>
      </c>
      <c r="M347" s="6" t="s">
        <v>241</v>
      </c>
      <c r="N347" s="6" t="s">
        <v>231</v>
      </c>
      <c r="O347" s="6" t="s">
        <v>1563</v>
      </c>
      <c r="P347" s="6"/>
    </row>
    <row r="348" customFormat="false" ht="72.75" hidden="false" customHeight="true" outlineLevel="0" collapsed="false">
      <c r="A348" s="5" t="n">
        <v>286</v>
      </c>
      <c r="B348" s="6" t="s">
        <v>1553</v>
      </c>
      <c r="C348" s="6" t="s">
        <v>1554</v>
      </c>
      <c r="D348" s="6" t="s">
        <v>1564</v>
      </c>
      <c r="E348" s="6"/>
      <c r="F348" s="7" t="s">
        <v>1565</v>
      </c>
      <c r="G348" s="7" t="s">
        <v>31</v>
      </c>
      <c r="H348" s="5" t="n">
        <v>2</v>
      </c>
      <c r="I348" s="6"/>
      <c r="J348" s="5" t="n">
        <v>21</v>
      </c>
      <c r="K348" s="6" t="s">
        <v>228</v>
      </c>
      <c r="L348" s="6" t="s">
        <v>229</v>
      </c>
      <c r="M348" s="6" t="s">
        <v>376</v>
      </c>
      <c r="N348" s="6" t="s">
        <v>368</v>
      </c>
      <c r="O348" s="6" t="s">
        <v>1566</v>
      </c>
      <c r="P348" s="6" t="s">
        <v>1567</v>
      </c>
    </row>
    <row r="349" customFormat="false" ht="175.5" hidden="false" customHeight="true" outlineLevel="0" collapsed="false">
      <c r="A349" s="5" t="s">
        <v>1568</v>
      </c>
      <c r="B349" s="6" t="s">
        <v>1553</v>
      </c>
      <c r="C349" s="6" t="s">
        <v>1554</v>
      </c>
      <c r="D349" s="6" t="s">
        <v>22</v>
      </c>
      <c r="E349" s="6"/>
      <c r="F349" s="7" t="s">
        <v>1569</v>
      </c>
      <c r="G349" s="7" t="s">
        <v>24</v>
      </c>
      <c r="H349" s="5" t="n">
        <v>4</v>
      </c>
      <c r="I349" s="6"/>
      <c r="J349" s="5" t="n">
        <v>21</v>
      </c>
      <c r="K349" s="6" t="s">
        <v>1570</v>
      </c>
      <c r="L349" s="6" t="s">
        <v>1571</v>
      </c>
      <c r="M349" s="6" t="s">
        <v>376</v>
      </c>
      <c r="N349" s="6" t="s">
        <v>368</v>
      </c>
      <c r="O349" s="6" t="s">
        <v>1572</v>
      </c>
      <c r="P349" s="6"/>
    </row>
    <row r="350" customFormat="false" ht="153" hidden="false" customHeight="true" outlineLevel="0" collapsed="false">
      <c r="A350" s="5" t="s">
        <v>1573</v>
      </c>
      <c r="B350" s="6" t="s">
        <v>1553</v>
      </c>
      <c r="C350" s="6" t="s">
        <v>1554</v>
      </c>
      <c r="D350" s="6" t="s">
        <v>35</v>
      </c>
      <c r="E350" s="6"/>
      <c r="F350" s="7" t="s">
        <v>1574</v>
      </c>
      <c r="G350" s="7" t="s">
        <v>24</v>
      </c>
      <c r="H350" s="5" t="n">
        <v>2</v>
      </c>
      <c r="I350" s="6"/>
      <c r="J350" s="5" t="n">
        <v>0</v>
      </c>
      <c r="K350" s="6" t="s">
        <v>1575</v>
      </c>
      <c r="L350" s="6" t="s">
        <v>1576</v>
      </c>
      <c r="M350" s="6" t="s">
        <v>527</v>
      </c>
      <c r="N350" s="6" t="s">
        <v>368</v>
      </c>
      <c r="O350" s="6" t="s">
        <v>1577</v>
      </c>
      <c r="P350" s="6"/>
    </row>
    <row r="351" customFormat="false" ht="164.25" hidden="false" customHeight="true" outlineLevel="0" collapsed="false">
      <c r="A351" s="5" t="n">
        <v>175</v>
      </c>
      <c r="B351" s="6" t="s">
        <v>1553</v>
      </c>
      <c r="C351" s="6" t="s">
        <v>1578</v>
      </c>
      <c r="D351" s="6" t="s">
        <v>1564</v>
      </c>
      <c r="E351" s="6"/>
      <c r="F351" s="7" t="s">
        <v>1579</v>
      </c>
      <c r="G351" s="7" t="s">
        <v>31</v>
      </c>
      <c r="H351" s="5" t="n">
        <v>2</v>
      </c>
      <c r="I351" s="6"/>
      <c r="J351" s="5" t="n">
        <v>21</v>
      </c>
      <c r="K351" s="6" t="s">
        <v>1580</v>
      </c>
      <c r="L351" s="6" t="s">
        <v>1581</v>
      </c>
      <c r="M351" s="6" t="s">
        <v>417</v>
      </c>
      <c r="N351" s="6" t="s">
        <v>1582</v>
      </c>
      <c r="O351" s="6" t="s">
        <v>1583</v>
      </c>
      <c r="P351" s="6" t="s">
        <v>1584</v>
      </c>
    </row>
    <row r="352" customFormat="false" ht="107.25" hidden="false" customHeight="true" outlineLevel="0" collapsed="false">
      <c r="A352" s="5" t="n">
        <v>289</v>
      </c>
      <c r="B352" s="6" t="s">
        <v>1553</v>
      </c>
      <c r="C352" s="6" t="s">
        <v>1578</v>
      </c>
      <c r="D352" s="6" t="s">
        <v>1564</v>
      </c>
      <c r="E352" s="6"/>
      <c r="F352" s="7" t="s">
        <v>1585</v>
      </c>
      <c r="G352" s="7" t="s">
        <v>31</v>
      </c>
      <c r="H352" s="5" t="n">
        <v>2</v>
      </c>
      <c r="I352" s="6"/>
      <c r="J352" s="5" t="n">
        <v>21</v>
      </c>
      <c r="K352" s="6" t="s">
        <v>1111</v>
      </c>
      <c r="L352" s="6" t="s">
        <v>1586</v>
      </c>
      <c r="M352" s="6" t="s">
        <v>417</v>
      </c>
      <c r="N352" s="6" t="s">
        <v>1587</v>
      </c>
      <c r="O352" s="6" t="s">
        <v>1065</v>
      </c>
      <c r="P352" s="6" t="s">
        <v>1584</v>
      </c>
    </row>
    <row r="353" customFormat="false" ht="141.75" hidden="false" customHeight="true" outlineLevel="0" collapsed="false">
      <c r="A353" s="5" t="n">
        <v>176</v>
      </c>
      <c r="B353" s="6" t="s">
        <v>1553</v>
      </c>
      <c r="C353" s="6" t="s">
        <v>1578</v>
      </c>
      <c r="D353" s="6" t="s">
        <v>1564</v>
      </c>
      <c r="E353" s="6"/>
      <c r="F353" s="7" t="s">
        <v>1588</v>
      </c>
      <c r="G353" s="7" t="s">
        <v>31</v>
      </c>
      <c r="H353" s="5" t="n">
        <v>2</v>
      </c>
      <c r="I353" s="6"/>
      <c r="J353" s="5" t="n">
        <v>28</v>
      </c>
      <c r="K353" s="6" t="s">
        <v>1589</v>
      </c>
      <c r="L353" s="6" t="s">
        <v>1590</v>
      </c>
      <c r="M353" s="6" t="s">
        <v>417</v>
      </c>
      <c r="N353" s="6" t="s">
        <v>1591</v>
      </c>
      <c r="O353" s="6" t="s">
        <v>1592</v>
      </c>
      <c r="P353" s="6"/>
    </row>
    <row r="354" customFormat="false" ht="50.25" hidden="false" customHeight="true" outlineLevel="0" collapsed="false">
      <c r="A354" s="5" t="n">
        <v>172</v>
      </c>
      <c r="B354" s="6" t="s">
        <v>1553</v>
      </c>
      <c r="C354" s="6" t="s">
        <v>1578</v>
      </c>
      <c r="D354" s="6" t="s">
        <v>770</v>
      </c>
      <c r="E354" s="6"/>
      <c r="F354" s="7" t="s">
        <v>1593</v>
      </c>
      <c r="G354" s="7" t="s">
        <v>50</v>
      </c>
      <c r="H354" s="5"/>
      <c r="I354" s="6"/>
      <c r="J354" s="5" t="n">
        <v>21</v>
      </c>
      <c r="K354" s="6" t="s">
        <v>51</v>
      </c>
      <c r="L354" s="6"/>
      <c r="M354" s="6" t="s">
        <v>1594</v>
      </c>
      <c r="N354" s="6" t="s">
        <v>83</v>
      </c>
      <c r="O354" s="6" t="s">
        <v>1595</v>
      </c>
      <c r="P354" s="6"/>
    </row>
    <row r="355" customFormat="false" ht="50.25" hidden="false" customHeight="true" outlineLevel="0" collapsed="false">
      <c r="A355" s="5" t="n">
        <v>174</v>
      </c>
      <c r="B355" s="6" t="s">
        <v>1553</v>
      </c>
      <c r="C355" s="6" t="s">
        <v>1578</v>
      </c>
      <c r="D355" s="6" t="s">
        <v>770</v>
      </c>
      <c r="E355" s="6"/>
      <c r="F355" s="7" t="s">
        <v>1596</v>
      </c>
      <c r="G355" s="7" t="s">
        <v>31</v>
      </c>
      <c r="H355" s="5" t="n">
        <v>2</v>
      </c>
      <c r="I355" s="6"/>
      <c r="J355" s="5" t="n">
        <v>0</v>
      </c>
      <c r="K355" s="6" t="s">
        <v>1597</v>
      </c>
      <c r="L355" s="6" t="s">
        <v>1598</v>
      </c>
      <c r="M355" s="6" t="s">
        <v>1599</v>
      </c>
      <c r="N355" s="6" t="s">
        <v>119</v>
      </c>
      <c r="O355" s="6" t="s">
        <v>1600</v>
      </c>
      <c r="P355" s="6"/>
    </row>
    <row r="356" customFormat="false" ht="175.5" hidden="false" customHeight="true" outlineLevel="0" collapsed="false">
      <c r="A356" s="5" t="s">
        <v>1601</v>
      </c>
      <c r="B356" s="6" t="s">
        <v>1553</v>
      </c>
      <c r="C356" s="6" t="s">
        <v>1578</v>
      </c>
      <c r="D356" s="6" t="s">
        <v>770</v>
      </c>
      <c r="E356" s="6"/>
      <c r="F356" s="7" t="s">
        <v>1602</v>
      </c>
      <c r="G356" s="7" t="s">
        <v>24</v>
      </c>
      <c r="H356" s="5" t="n">
        <v>2</v>
      </c>
      <c r="I356" s="6"/>
      <c r="J356" s="5" t="n">
        <v>0</v>
      </c>
      <c r="K356" s="6" t="s">
        <v>1603</v>
      </c>
      <c r="L356" s="6" t="s">
        <v>1604</v>
      </c>
      <c r="M356" s="6" t="s">
        <v>527</v>
      </c>
      <c r="N356" s="6" t="s">
        <v>368</v>
      </c>
      <c r="O356" s="6" t="s">
        <v>1605</v>
      </c>
      <c r="P356" s="6" t="s">
        <v>1606</v>
      </c>
    </row>
    <row r="357" customFormat="false" ht="61.5" hidden="false" customHeight="true" outlineLevel="0" collapsed="false">
      <c r="A357" s="5" t="n">
        <v>171</v>
      </c>
      <c r="B357" s="6" t="s">
        <v>1553</v>
      </c>
      <c r="C357" s="6" t="s">
        <v>1578</v>
      </c>
      <c r="D357" s="6" t="s">
        <v>770</v>
      </c>
      <c r="E357" s="6"/>
      <c r="F357" s="7" t="s">
        <v>1607</v>
      </c>
      <c r="G357" s="7" t="s">
        <v>31</v>
      </c>
      <c r="H357" s="5" t="n">
        <v>2</v>
      </c>
      <c r="I357" s="6"/>
      <c r="J357" s="5" t="n">
        <v>0</v>
      </c>
      <c r="K357" s="6" t="s">
        <v>1608</v>
      </c>
      <c r="L357" s="6" t="s">
        <v>788</v>
      </c>
      <c r="M357" s="6" t="s">
        <v>794</v>
      </c>
      <c r="N357" s="6" t="s">
        <v>495</v>
      </c>
      <c r="O357" s="6" t="s">
        <v>1609</v>
      </c>
      <c r="P357" s="6" t="s">
        <v>1610</v>
      </c>
    </row>
    <row r="358" customFormat="false" ht="50.25" hidden="false" customHeight="true" outlineLevel="0" collapsed="false">
      <c r="A358" s="5" t="n">
        <v>173</v>
      </c>
      <c r="B358" s="6" t="s">
        <v>1553</v>
      </c>
      <c r="C358" s="6" t="s">
        <v>1578</v>
      </c>
      <c r="D358" s="6" t="s">
        <v>770</v>
      </c>
      <c r="E358" s="6"/>
      <c r="F358" s="7" t="s">
        <v>1611</v>
      </c>
      <c r="G358" s="7" t="s">
        <v>50</v>
      </c>
      <c r="H358" s="5"/>
      <c r="I358" s="6"/>
      <c r="J358" s="5" t="n">
        <v>0</v>
      </c>
      <c r="K358" s="6" t="s">
        <v>51</v>
      </c>
      <c r="L358" s="6"/>
      <c r="M358" s="6" t="s">
        <v>1428</v>
      </c>
      <c r="N358" s="6"/>
      <c r="O358" s="6" t="s">
        <v>1612</v>
      </c>
      <c r="P358" s="6"/>
    </row>
    <row r="359" customFormat="false" ht="96" hidden="false" customHeight="true" outlineLevel="0" collapsed="false">
      <c r="A359" s="5" t="n">
        <v>179</v>
      </c>
      <c r="B359" s="6" t="s">
        <v>1553</v>
      </c>
      <c r="C359" s="6" t="s">
        <v>1578</v>
      </c>
      <c r="D359" s="6" t="s">
        <v>498</v>
      </c>
      <c r="E359" s="6"/>
      <c r="F359" s="7" t="s">
        <v>1613</v>
      </c>
      <c r="G359" s="7" t="s">
        <v>31</v>
      </c>
      <c r="H359" s="5" t="n">
        <v>2</v>
      </c>
      <c r="I359" s="6"/>
      <c r="J359" s="5" t="n">
        <v>21</v>
      </c>
      <c r="K359" s="6" t="s">
        <v>1614</v>
      </c>
      <c r="L359" s="6" t="s">
        <v>1615</v>
      </c>
      <c r="M359" s="6" t="s">
        <v>1616</v>
      </c>
      <c r="N359" s="6" t="s">
        <v>1617</v>
      </c>
      <c r="O359" s="6" t="s">
        <v>1618</v>
      </c>
      <c r="P359" s="6"/>
    </row>
    <row r="360" customFormat="false" ht="84.75" hidden="false" customHeight="true" outlineLevel="0" collapsed="false">
      <c r="A360" s="5" t="n">
        <v>180</v>
      </c>
      <c r="B360" s="6" t="s">
        <v>1553</v>
      </c>
      <c r="C360" s="6" t="s">
        <v>1578</v>
      </c>
      <c r="D360" s="6" t="s">
        <v>498</v>
      </c>
      <c r="E360" s="6"/>
      <c r="F360" s="7" t="s">
        <v>1619</v>
      </c>
      <c r="G360" s="7" t="s">
        <v>50</v>
      </c>
      <c r="H360" s="5"/>
      <c r="I360" s="6"/>
      <c r="J360" s="5" t="n">
        <v>21</v>
      </c>
      <c r="K360" s="6" t="s">
        <v>591</v>
      </c>
      <c r="L360" s="6"/>
      <c r="M360" s="6" t="s">
        <v>1620</v>
      </c>
      <c r="N360" s="6" t="s">
        <v>1621</v>
      </c>
      <c r="O360" s="6" t="s">
        <v>1622</v>
      </c>
      <c r="P360" s="6"/>
    </row>
    <row r="361" customFormat="false" ht="50.25" hidden="false" customHeight="true" outlineLevel="0" collapsed="false">
      <c r="A361" s="5" t="n">
        <v>177</v>
      </c>
      <c r="B361" s="6" t="s">
        <v>1553</v>
      </c>
      <c r="C361" s="6" t="s">
        <v>1578</v>
      </c>
      <c r="D361" s="6" t="s">
        <v>498</v>
      </c>
      <c r="E361" s="6"/>
      <c r="F361" s="7" t="s">
        <v>1623</v>
      </c>
      <c r="G361" s="7" t="s">
        <v>50</v>
      </c>
      <c r="H361" s="5"/>
      <c r="I361" s="6"/>
      <c r="J361" s="5" t="n">
        <v>21</v>
      </c>
      <c r="K361" s="6" t="s">
        <v>591</v>
      </c>
      <c r="L361" s="6"/>
      <c r="M361" s="6" t="s">
        <v>1594</v>
      </c>
      <c r="N361" s="6" t="s">
        <v>1621</v>
      </c>
      <c r="O361" s="6" t="s">
        <v>1624</v>
      </c>
      <c r="P361" s="6"/>
    </row>
    <row r="362" customFormat="false" ht="50.25" hidden="false" customHeight="true" outlineLevel="0" collapsed="false">
      <c r="A362" s="5" t="n">
        <v>181</v>
      </c>
      <c r="B362" s="6" t="s">
        <v>1553</v>
      </c>
      <c r="C362" s="6" t="s">
        <v>1578</v>
      </c>
      <c r="D362" s="6" t="s">
        <v>498</v>
      </c>
      <c r="E362" s="6"/>
      <c r="F362" s="7" t="s">
        <v>1625</v>
      </c>
      <c r="G362" s="7" t="s">
        <v>31</v>
      </c>
      <c r="H362" s="5" t="n">
        <v>2</v>
      </c>
      <c r="I362" s="6"/>
      <c r="J362" s="5" t="n">
        <v>21</v>
      </c>
      <c r="K362" s="6" t="s">
        <v>1626</v>
      </c>
      <c r="L362" s="6" t="s">
        <v>1615</v>
      </c>
      <c r="M362" s="6" t="s">
        <v>1599</v>
      </c>
      <c r="N362" s="6" t="s">
        <v>119</v>
      </c>
      <c r="O362" s="6" t="s">
        <v>1627</v>
      </c>
      <c r="P362" s="6"/>
    </row>
    <row r="363" customFormat="false" ht="107.25" hidden="false" customHeight="true" outlineLevel="0" collapsed="false">
      <c r="A363" s="5" t="n">
        <v>178</v>
      </c>
      <c r="B363" s="6" t="s">
        <v>1553</v>
      </c>
      <c r="C363" s="6" t="s">
        <v>1578</v>
      </c>
      <c r="D363" s="6" t="s">
        <v>498</v>
      </c>
      <c r="E363" s="6"/>
      <c r="F363" s="7" t="s">
        <v>1628</v>
      </c>
      <c r="G363" s="7" t="s">
        <v>31</v>
      </c>
      <c r="H363" s="5" t="n">
        <v>2</v>
      </c>
      <c r="I363" s="6"/>
      <c r="J363" s="5" t="n">
        <v>21</v>
      </c>
      <c r="K363" s="6" t="s">
        <v>1629</v>
      </c>
      <c r="L363" s="6" t="s">
        <v>1630</v>
      </c>
      <c r="M363" s="6" t="s">
        <v>1631</v>
      </c>
      <c r="N363" s="6" t="s">
        <v>1632</v>
      </c>
      <c r="O363" s="6" t="s">
        <v>1633</v>
      </c>
      <c r="P363" s="6"/>
    </row>
    <row r="364" customFormat="false" ht="96" hidden="false" customHeight="true" outlineLevel="0" collapsed="false">
      <c r="A364" s="5" t="n">
        <v>130</v>
      </c>
      <c r="B364" s="6" t="s">
        <v>1553</v>
      </c>
      <c r="C364" s="6" t="s">
        <v>1578</v>
      </c>
      <c r="D364" s="6" t="s">
        <v>498</v>
      </c>
      <c r="E364" s="6"/>
      <c r="F364" s="7" t="s">
        <v>1634</v>
      </c>
      <c r="G364" s="7" t="s">
        <v>31</v>
      </c>
      <c r="H364" s="5" t="n">
        <v>2</v>
      </c>
      <c r="I364" s="6"/>
      <c r="J364" s="5" t="n">
        <v>21</v>
      </c>
      <c r="K364" s="6" t="s">
        <v>228</v>
      </c>
      <c r="L364" s="6" t="s">
        <v>229</v>
      </c>
      <c r="M364" s="6" t="s">
        <v>469</v>
      </c>
      <c r="N364" s="6" t="s">
        <v>231</v>
      </c>
      <c r="O364" s="6" t="s">
        <v>1635</v>
      </c>
      <c r="P364" s="6"/>
    </row>
    <row r="365" customFormat="false" ht="107.25" hidden="false" customHeight="true" outlineLevel="0" collapsed="false">
      <c r="A365" s="5" t="n">
        <v>284</v>
      </c>
      <c r="B365" s="6" t="s">
        <v>1553</v>
      </c>
      <c r="C365" s="6" t="s">
        <v>1578</v>
      </c>
      <c r="D365" s="6" t="s">
        <v>498</v>
      </c>
      <c r="E365" s="6"/>
      <c r="F365" s="7" t="s">
        <v>1636</v>
      </c>
      <c r="G365" s="7" t="s">
        <v>31</v>
      </c>
      <c r="H365" s="5" t="n">
        <v>2</v>
      </c>
      <c r="I365" s="6"/>
      <c r="J365" s="5" t="n">
        <v>21</v>
      </c>
      <c r="K365" s="6" t="s">
        <v>480</v>
      </c>
      <c r="L365" s="6" t="s">
        <v>1637</v>
      </c>
      <c r="M365" s="6" t="s">
        <v>241</v>
      </c>
      <c r="N365" s="6" t="s">
        <v>231</v>
      </c>
      <c r="O365" s="6" t="s">
        <v>1638</v>
      </c>
      <c r="P365" s="6"/>
    </row>
    <row r="366" customFormat="false" ht="72.75" hidden="false" customHeight="true" outlineLevel="0" collapsed="false">
      <c r="A366" s="5" t="n">
        <v>288</v>
      </c>
      <c r="B366" s="6" t="s">
        <v>1553</v>
      </c>
      <c r="C366" s="6" t="s">
        <v>1578</v>
      </c>
      <c r="D366" s="6" t="s">
        <v>498</v>
      </c>
      <c r="E366" s="6"/>
      <c r="F366" s="7" t="s">
        <v>1639</v>
      </c>
      <c r="G366" s="7" t="s">
        <v>31</v>
      </c>
      <c r="H366" s="5" t="n">
        <v>2</v>
      </c>
      <c r="I366" s="6"/>
      <c r="J366" s="5" t="n">
        <v>28</v>
      </c>
      <c r="K366" s="6" t="s">
        <v>1640</v>
      </c>
      <c r="L366" s="6" t="s">
        <v>1641</v>
      </c>
      <c r="M366" s="6" t="s">
        <v>241</v>
      </c>
      <c r="N366" s="6" t="s">
        <v>1642</v>
      </c>
      <c r="O366" s="6" t="s">
        <v>1065</v>
      </c>
      <c r="P366" s="6"/>
    </row>
    <row r="367" customFormat="false" ht="96" hidden="false" customHeight="true" outlineLevel="0" collapsed="false">
      <c r="A367" s="5" t="n">
        <v>285</v>
      </c>
      <c r="B367" s="6" t="s">
        <v>1553</v>
      </c>
      <c r="C367" s="6" t="s">
        <v>1578</v>
      </c>
      <c r="D367" s="6" t="s">
        <v>498</v>
      </c>
      <c r="E367" s="6"/>
      <c r="F367" s="7" t="s">
        <v>1643</v>
      </c>
      <c r="G367" s="7" t="s">
        <v>31</v>
      </c>
      <c r="H367" s="5" t="n">
        <v>2</v>
      </c>
      <c r="I367" s="6"/>
      <c r="J367" s="5" t="n">
        <v>21</v>
      </c>
      <c r="K367" s="6" t="s">
        <v>504</v>
      </c>
      <c r="L367" s="6" t="s">
        <v>505</v>
      </c>
      <c r="M367" s="6" t="s">
        <v>1644</v>
      </c>
      <c r="N367" s="6" t="s">
        <v>368</v>
      </c>
      <c r="O367" s="6" t="s">
        <v>1645</v>
      </c>
      <c r="P367" s="6"/>
    </row>
    <row r="368" customFormat="false" ht="50.25" hidden="false" customHeight="true" outlineLevel="0" collapsed="false">
      <c r="A368" s="5" t="n">
        <v>182</v>
      </c>
      <c r="B368" s="6" t="s">
        <v>1553</v>
      </c>
      <c r="C368" s="6" t="s">
        <v>1578</v>
      </c>
      <c r="D368" s="6" t="s">
        <v>498</v>
      </c>
      <c r="E368" s="6"/>
      <c r="F368" s="7" t="s">
        <v>1646</v>
      </c>
      <c r="G368" s="7" t="s">
        <v>31</v>
      </c>
      <c r="H368" s="5" t="n">
        <v>3</v>
      </c>
      <c r="I368" s="6"/>
      <c r="J368" s="5" t="n">
        <v>21</v>
      </c>
      <c r="K368" s="6" t="s">
        <v>43</v>
      </c>
      <c r="L368" s="6" t="s">
        <v>44</v>
      </c>
      <c r="M368" s="6" t="s">
        <v>646</v>
      </c>
      <c r="N368" s="6"/>
      <c r="O368" s="6" t="s">
        <v>1647</v>
      </c>
      <c r="P368" s="6"/>
    </row>
    <row r="369" customFormat="false" ht="153" hidden="false" customHeight="true" outlineLevel="0" collapsed="false">
      <c r="A369" s="5" t="s">
        <v>1648</v>
      </c>
      <c r="B369" s="6" t="s">
        <v>1553</v>
      </c>
      <c r="C369" s="6" t="s">
        <v>1578</v>
      </c>
      <c r="D369" s="6" t="s">
        <v>498</v>
      </c>
      <c r="E369" s="6"/>
      <c r="F369" s="7" t="s">
        <v>1649</v>
      </c>
      <c r="G369" s="7" t="s">
        <v>24</v>
      </c>
      <c r="H369" s="5" t="n">
        <v>3</v>
      </c>
      <c r="I369" s="6"/>
      <c r="J369" s="5" t="n">
        <v>21</v>
      </c>
      <c r="K369" s="6" t="s">
        <v>1650</v>
      </c>
      <c r="L369" s="6" t="s">
        <v>1651</v>
      </c>
      <c r="M369" s="6" t="s">
        <v>1652</v>
      </c>
      <c r="N369" s="6" t="s">
        <v>119</v>
      </c>
      <c r="O369" s="6" t="s">
        <v>1653</v>
      </c>
      <c r="P369" s="6"/>
    </row>
    <row r="370" customFormat="false" ht="289.5" hidden="false" customHeight="true" outlineLevel="0" collapsed="false">
      <c r="A370" s="5" t="s">
        <v>1654</v>
      </c>
      <c r="B370" s="6" t="s">
        <v>1553</v>
      </c>
      <c r="C370" s="6" t="s">
        <v>1578</v>
      </c>
      <c r="D370" s="6" t="s">
        <v>498</v>
      </c>
      <c r="E370" s="6"/>
      <c r="F370" s="7" t="s">
        <v>1655</v>
      </c>
      <c r="G370" s="7" t="s">
        <v>24</v>
      </c>
      <c r="H370" s="5" t="n">
        <v>3</v>
      </c>
      <c r="I370" s="6"/>
      <c r="J370" s="5" t="n">
        <v>21</v>
      </c>
      <c r="K370" s="6" t="s">
        <v>1656</v>
      </c>
      <c r="L370" s="6" t="s">
        <v>1657</v>
      </c>
      <c r="M370" s="6" t="s">
        <v>1658</v>
      </c>
      <c r="N370" s="6" t="s">
        <v>1659</v>
      </c>
      <c r="O370" s="6" t="s">
        <v>1660</v>
      </c>
      <c r="P370" s="6"/>
    </row>
    <row r="371" customFormat="false" ht="61.5" hidden="false" customHeight="true" outlineLevel="0" collapsed="false">
      <c r="A371" s="5" t="s">
        <v>1661</v>
      </c>
      <c r="B371" s="6" t="s">
        <v>1662</v>
      </c>
      <c r="C371" s="6" t="s">
        <v>1663</v>
      </c>
      <c r="D371" s="6" t="s">
        <v>48</v>
      </c>
      <c r="E371" s="6"/>
      <c r="F371" s="7" t="s">
        <v>1664</v>
      </c>
      <c r="G371" s="7" t="s">
        <v>24</v>
      </c>
      <c r="H371" s="5" t="n">
        <v>4</v>
      </c>
      <c r="I371" s="6"/>
      <c r="J371" s="5" t="n">
        <v>28</v>
      </c>
      <c r="K371" s="6" t="s">
        <v>1665</v>
      </c>
      <c r="L371" s="6" t="s">
        <v>1666</v>
      </c>
      <c r="M371" s="6"/>
      <c r="N371" s="6"/>
      <c r="O371" s="6" t="s">
        <v>1667</v>
      </c>
      <c r="P371" s="6"/>
    </row>
    <row r="372" customFormat="false" ht="61.5" hidden="false" customHeight="true" outlineLevel="0" collapsed="false">
      <c r="A372" s="5" t="s">
        <v>1668</v>
      </c>
      <c r="B372" s="6" t="s">
        <v>1662</v>
      </c>
      <c r="C372" s="6" t="s">
        <v>1663</v>
      </c>
      <c r="D372" s="6" t="s">
        <v>48</v>
      </c>
      <c r="E372" s="6"/>
      <c r="F372" s="7" t="s">
        <v>1669</v>
      </c>
      <c r="G372" s="7" t="s">
        <v>24</v>
      </c>
      <c r="H372" s="5" t="n">
        <v>4</v>
      </c>
      <c r="I372" s="6"/>
      <c r="J372" s="5" t="n">
        <v>28</v>
      </c>
      <c r="K372" s="6" t="s">
        <v>1670</v>
      </c>
      <c r="L372" s="6" t="s">
        <v>1671</v>
      </c>
      <c r="M372" s="6"/>
      <c r="N372" s="6"/>
      <c r="O372" s="6" t="s">
        <v>1672</v>
      </c>
      <c r="P372" s="6"/>
    </row>
    <row r="373" customFormat="false" ht="61.5" hidden="false" customHeight="true" outlineLevel="0" collapsed="false">
      <c r="A373" s="5" t="s">
        <v>1673</v>
      </c>
      <c r="B373" s="6" t="s">
        <v>1662</v>
      </c>
      <c r="C373" s="6" t="s">
        <v>1663</v>
      </c>
      <c r="D373" s="6" t="s">
        <v>48</v>
      </c>
      <c r="E373" s="6"/>
      <c r="F373" s="7" t="s">
        <v>1674</v>
      </c>
      <c r="G373" s="7" t="s">
        <v>24</v>
      </c>
      <c r="H373" s="5" t="n">
        <v>4</v>
      </c>
      <c r="I373" s="6"/>
      <c r="J373" s="5" t="n">
        <v>28</v>
      </c>
      <c r="K373" s="6" t="s">
        <v>1675</v>
      </c>
      <c r="L373" s="6" t="s">
        <v>1676</v>
      </c>
      <c r="M373" s="6"/>
      <c r="N373" s="6"/>
      <c r="O373" s="6" t="s">
        <v>1677</v>
      </c>
      <c r="P373" s="6"/>
    </row>
    <row r="374" customFormat="false" ht="27.75" hidden="false" customHeight="true" outlineLevel="0" collapsed="false">
      <c r="A374" s="5" t="n">
        <v>313</v>
      </c>
      <c r="B374" s="6" t="s">
        <v>1662</v>
      </c>
      <c r="C374" s="6" t="s">
        <v>1678</v>
      </c>
      <c r="D374" s="6" t="s">
        <v>48</v>
      </c>
      <c r="E374" s="6"/>
      <c r="F374" s="7" t="s">
        <v>1679</v>
      </c>
      <c r="G374" s="7" t="s">
        <v>50</v>
      </c>
      <c r="H374" s="5"/>
      <c r="I374" s="6"/>
      <c r="J374" s="5" t="n">
        <v>28</v>
      </c>
      <c r="K374" s="6" t="s">
        <v>51</v>
      </c>
      <c r="L374" s="6"/>
      <c r="M374" s="6"/>
      <c r="N374" s="6"/>
      <c r="O374" s="6" t="s">
        <v>1680</v>
      </c>
      <c r="P374" s="6"/>
    </row>
    <row r="375" customFormat="false" ht="61.5" hidden="false" customHeight="true" outlineLevel="0" collapsed="false">
      <c r="A375" s="5" t="s">
        <v>1681</v>
      </c>
      <c r="B375" s="6" t="s">
        <v>1682</v>
      </c>
      <c r="C375" s="6" t="s">
        <v>1683</v>
      </c>
      <c r="D375" s="6" t="s">
        <v>1684</v>
      </c>
      <c r="E375" s="6"/>
      <c r="F375" s="7" t="s">
        <v>1685</v>
      </c>
      <c r="G375" s="7" t="s">
        <v>24</v>
      </c>
      <c r="H375" s="5" t="n">
        <v>2</v>
      </c>
      <c r="I375" s="6"/>
      <c r="J375" s="5" t="n">
        <v>0</v>
      </c>
      <c r="K375" s="6" t="s">
        <v>1686</v>
      </c>
      <c r="L375" s="6" t="s">
        <v>1687</v>
      </c>
      <c r="M375" s="6"/>
      <c r="N375" s="6"/>
      <c r="O375" s="6" t="s">
        <v>1688</v>
      </c>
      <c r="P375" s="6" t="s">
        <v>1689</v>
      </c>
    </row>
    <row r="376" customFormat="false" ht="27.75" hidden="false" customHeight="true" outlineLevel="0" collapsed="false">
      <c r="A376" s="5" t="n">
        <v>266</v>
      </c>
      <c r="B376" s="6" t="s">
        <v>1682</v>
      </c>
      <c r="C376" s="6" t="s">
        <v>1683</v>
      </c>
      <c r="D376" s="6" t="s">
        <v>1684</v>
      </c>
      <c r="E376" s="6"/>
      <c r="F376" s="7" t="s">
        <v>1690</v>
      </c>
      <c r="G376" s="7" t="s">
        <v>50</v>
      </c>
      <c r="H376" s="5"/>
      <c r="I376" s="6"/>
      <c r="J376" s="5" t="n">
        <v>28</v>
      </c>
      <c r="K376" s="6" t="s">
        <v>51</v>
      </c>
      <c r="L376" s="6"/>
      <c r="M376" s="6"/>
      <c r="N376" s="6"/>
      <c r="O376" s="6" t="s">
        <v>1691</v>
      </c>
      <c r="P376" s="6"/>
    </row>
    <row r="377" customFormat="false" ht="27.75" hidden="false" customHeight="true" outlineLevel="0" collapsed="false">
      <c r="A377" s="5" t="n">
        <v>263</v>
      </c>
      <c r="B377" s="6" t="s">
        <v>1682</v>
      </c>
      <c r="C377" s="6" t="s">
        <v>1683</v>
      </c>
      <c r="D377" s="6" t="s">
        <v>1684</v>
      </c>
      <c r="E377" s="6"/>
      <c r="F377" s="7" t="s">
        <v>1692</v>
      </c>
      <c r="G377" s="7" t="s">
        <v>50</v>
      </c>
      <c r="H377" s="5"/>
      <c r="I377" s="6"/>
      <c r="J377" s="5" t="n">
        <v>84</v>
      </c>
      <c r="K377" s="6" t="s">
        <v>51</v>
      </c>
      <c r="L377" s="6"/>
      <c r="M377" s="6"/>
      <c r="N377" s="6"/>
      <c r="O377" s="6" t="s">
        <v>544</v>
      </c>
      <c r="P377" s="6"/>
    </row>
    <row r="378" customFormat="false" ht="27.75" hidden="false" customHeight="true" outlineLevel="0" collapsed="false">
      <c r="A378" s="5" t="n">
        <v>262</v>
      </c>
      <c r="B378" s="6" t="s">
        <v>1682</v>
      </c>
      <c r="C378" s="6" t="s">
        <v>1683</v>
      </c>
      <c r="D378" s="6" t="s">
        <v>1684</v>
      </c>
      <c r="E378" s="6"/>
      <c r="F378" s="7" t="s">
        <v>1693</v>
      </c>
      <c r="G378" s="7" t="s">
        <v>50</v>
      </c>
      <c r="H378" s="5"/>
      <c r="I378" s="6"/>
      <c r="J378" s="5" t="n">
        <v>28</v>
      </c>
      <c r="K378" s="6" t="s">
        <v>51</v>
      </c>
      <c r="L378" s="6"/>
      <c r="M378" s="6"/>
      <c r="N378" s="6"/>
      <c r="O378" s="6" t="s">
        <v>544</v>
      </c>
      <c r="P378" s="6"/>
    </row>
    <row r="379" customFormat="false" ht="27.75" hidden="false" customHeight="true" outlineLevel="0" collapsed="false">
      <c r="A379" s="5" t="n">
        <v>264</v>
      </c>
      <c r="B379" s="6" t="s">
        <v>1682</v>
      </c>
      <c r="C379" s="6" t="s">
        <v>1683</v>
      </c>
      <c r="D379" s="6" t="s">
        <v>1684</v>
      </c>
      <c r="E379" s="6"/>
      <c r="F379" s="7" t="s">
        <v>1694</v>
      </c>
      <c r="G379" s="7" t="s">
        <v>50</v>
      </c>
      <c r="H379" s="5"/>
      <c r="I379" s="6"/>
      <c r="J379" s="5" t="n">
        <v>91</v>
      </c>
      <c r="K379" s="6" t="s">
        <v>51</v>
      </c>
      <c r="L379" s="6"/>
      <c r="M379" s="6"/>
      <c r="N379" s="6"/>
      <c r="O379" s="6" t="s">
        <v>544</v>
      </c>
      <c r="P379" s="6"/>
    </row>
    <row r="380" customFormat="false" ht="50.25" hidden="false" customHeight="true" outlineLevel="0" collapsed="false">
      <c r="A380" s="5" t="s">
        <v>1695</v>
      </c>
      <c r="B380" s="6" t="s">
        <v>1682</v>
      </c>
      <c r="C380" s="6" t="s">
        <v>1683</v>
      </c>
      <c r="D380" s="6" t="s">
        <v>1684</v>
      </c>
      <c r="E380" s="6"/>
      <c r="F380" s="7" t="s">
        <v>1696</v>
      </c>
      <c r="G380" s="7" t="s">
        <v>24</v>
      </c>
      <c r="H380" s="5" t="n">
        <v>4</v>
      </c>
      <c r="I380" s="6"/>
      <c r="J380" s="5" t="n">
        <v>182</v>
      </c>
      <c r="K380" s="6" t="s">
        <v>686</v>
      </c>
      <c r="L380" s="6" t="s">
        <v>1697</v>
      </c>
      <c r="M380" s="6"/>
      <c r="N380" s="6"/>
      <c r="O380" s="6" t="s">
        <v>544</v>
      </c>
      <c r="P380" s="6"/>
    </row>
    <row r="381" customFormat="false" ht="61.5" hidden="false" customHeight="true" outlineLevel="0" collapsed="false">
      <c r="A381" s="5" t="s">
        <v>1698</v>
      </c>
      <c r="B381" s="6" t="s">
        <v>1682</v>
      </c>
      <c r="C381" s="6" t="s">
        <v>1683</v>
      </c>
      <c r="D381" s="6" t="s">
        <v>1684</v>
      </c>
      <c r="E381" s="6"/>
      <c r="F381" s="7" t="s">
        <v>1699</v>
      </c>
      <c r="G381" s="7" t="s">
        <v>24</v>
      </c>
      <c r="H381" s="5" t="n">
        <v>4</v>
      </c>
      <c r="I381" s="6"/>
      <c r="J381" s="5" t="n">
        <v>28</v>
      </c>
      <c r="K381" s="6" t="s">
        <v>1700</v>
      </c>
      <c r="L381" s="6" t="s">
        <v>1701</v>
      </c>
      <c r="M381" s="6"/>
      <c r="N381" s="6"/>
      <c r="O381" s="6" t="s">
        <v>1702</v>
      </c>
      <c r="P381" s="6"/>
    </row>
    <row r="382" customFormat="false" ht="27.75" hidden="false" customHeight="true" outlineLevel="0" collapsed="false">
      <c r="A382" s="5" t="n">
        <v>270</v>
      </c>
      <c r="B382" s="6" t="s">
        <v>1682</v>
      </c>
      <c r="C382" s="6" t="s">
        <v>1683</v>
      </c>
      <c r="D382" s="6" t="s">
        <v>1684</v>
      </c>
      <c r="E382" s="6"/>
      <c r="F382" s="7" t="s">
        <v>1703</v>
      </c>
      <c r="G382" s="7" t="s">
        <v>50</v>
      </c>
      <c r="H382" s="5"/>
      <c r="I382" s="6"/>
      <c r="J382" s="5" t="n">
        <v>91</v>
      </c>
      <c r="K382" s="6" t="s">
        <v>51</v>
      </c>
      <c r="L382" s="6"/>
      <c r="M382" s="6"/>
      <c r="N382" s="6"/>
      <c r="O382" s="6" t="s">
        <v>544</v>
      </c>
      <c r="P382" s="6"/>
    </row>
    <row r="383" customFormat="false" ht="27.75" hidden="false" customHeight="true" outlineLevel="0" collapsed="false">
      <c r="A383" s="5" t="n">
        <v>271</v>
      </c>
      <c r="B383" s="6" t="s">
        <v>1682</v>
      </c>
      <c r="C383" s="6" t="s">
        <v>1683</v>
      </c>
      <c r="D383" s="6" t="s">
        <v>1684</v>
      </c>
      <c r="E383" s="6"/>
      <c r="F383" s="7" t="s">
        <v>1704</v>
      </c>
      <c r="G383" s="7" t="s">
        <v>50</v>
      </c>
      <c r="H383" s="5"/>
      <c r="I383" s="6"/>
      <c r="J383" s="5" t="n">
        <v>182</v>
      </c>
      <c r="K383" s="6" t="s">
        <v>51</v>
      </c>
      <c r="L383" s="6"/>
      <c r="M383" s="6"/>
      <c r="N383" s="6"/>
      <c r="O383" s="6" t="s">
        <v>544</v>
      </c>
      <c r="P383" s="6"/>
    </row>
    <row r="384" customFormat="false" ht="27.75" hidden="false" customHeight="true" outlineLevel="0" collapsed="false">
      <c r="A384" s="5" t="n">
        <v>265</v>
      </c>
      <c r="B384" s="6" t="s">
        <v>1682</v>
      </c>
      <c r="C384" s="6" t="s">
        <v>1683</v>
      </c>
      <c r="D384" s="6" t="s">
        <v>1684</v>
      </c>
      <c r="E384" s="6"/>
      <c r="F384" s="7" t="s">
        <v>1705</v>
      </c>
      <c r="G384" s="7" t="s">
        <v>50</v>
      </c>
      <c r="H384" s="5"/>
      <c r="I384" s="6"/>
      <c r="J384" s="5" t="n">
        <v>28</v>
      </c>
      <c r="K384" s="6" t="s">
        <v>51</v>
      </c>
      <c r="L384" s="6"/>
      <c r="M384" s="6"/>
      <c r="N384" s="6"/>
      <c r="O384" s="6" t="s">
        <v>544</v>
      </c>
      <c r="P384" s="6"/>
    </row>
    <row r="385" customFormat="false" ht="27.75" hidden="false" customHeight="true" outlineLevel="0" collapsed="false">
      <c r="A385" s="5" t="n">
        <v>269</v>
      </c>
      <c r="B385" s="6" t="s">
        <v>1682</v>
      </c>
      <c r="C385" s="6" t="s">
        <v>1706</v>
      </c>
      <c r="D385" s="6" t="s">
        <v>1707</v>
      </c>
      <c r="E385" s="6"/>
      <c r="F385" s="7" t="s">
        <v>1708</v>
      </c>
      <c r="G385" s="7" t="s">
        <v>50</v>
      </c>
      <c r="H385" s="5"/>
      <c r="I385" s="6"/>
      <c r="J385" s="5" t="n">
        <v>84</v>
      </c>
      <c r="K385" s="6" t="s">
        <v>51</v>
      </c>
      <c r="L385" s="6"/>
      <c r="M385" s="6" t="s">
        <v>1305</v>
      </c>
      <c r="N385" s="6"/>
      <c r="O385" s="6" t="s">
        <v>1709</v>
      </c>
      <c r="P385" s="6"/>
    </row>
    <row r="386" customFormat="false" ht="27.75" hidden="false" customHeight="true" outlineLevel="0" collapsed="false">
      <c r="A386" s="5" t="n">
        <v>267</v>
      </c>
      <c r="B386" s="6" t="s">
        <v>1682</v>
      </c>
      <c r="C386" s="6" t="s">
        <v>1706</v>
      </c>
      <c r="D386" s="6" t="s">
        <v>1707</v>
      </c>
      <c r="E386" s="6"/>
      <c r="F386" s="7" t="s">
        <v>1710</v>
      </c>
      <c r="G386" s="7" t="s">
        <v>50</v>
      </c>
      <c r="H386" s="5"/>
      <c r="I386" s="6"/>
      <c r="J386" s="5" t="n">
        <v>28</v>
      </c>
      <c r="K386" s="6" t="s">
        <v>51</v>
      </c>
      <c r="L386" s="6"/>
      <c r="M386" s="6" t="s">
        <v>1305</v>
      </c>
      <c r="N386" s="6"/>
      <c r="O386" s="6" t="s">
        <v>1711</v>
      </c>
      <c r="P386" s="6"/>
    </row>
    <row r="387" customFormat="false" ht="27.75" hidden="false" customHeight="true" outlineLevel="0" collapsed="false">
      <c r="A387" s="5" t="n">
        <v>268</v>
      </c>
      <c r="B387" s="6" t="s">
        <v>1682</v>
      </c>
      <c r="C387" s="6" t="s">
        <v>1706</v>
      </c>
      <c r="D387" s="6" t="s">
        <v>1707</v>
      </c>
      <c r="E387" s="6"/>
      <c r="F387" s="7" t="s">
        <v>1712</v>
      </c>
      <c r="G387" s="7" t="s">
        <v>50</v>
      </c>
      <c r="H387" s="5"/>
      <c r="I387" s="6"/>
      <c r="J387" s="5" t="n">
        <v>28</v>
      </c>
      <c r="K387" s="6" t="s">
        <v>51</v>
      </c>
      <c r="L387" s="6"/>
      <c r="M387" s="6" t="s">
        <v>1713</v>
      </c>
      <c r="N387" s="6"/>
      <c r="O387" s="6" t="s">
        <v>1714</v>
      </c>
      <c r="P387" s="6"/>
    </row>
    <row r="388" customFormat="false" ht="61.5" hidden="false" customHeight="true" outlineLevel="0" collapsed="false">
      <c r="A388" s="5" t="s">
        <v>1715</v>
      </c>
      <c r="B388" s="6" t="s">
        <v>1682</v>
      </c>
      <c r="C388" s="6" t="s">
        <v>1716</v>
      </c>
      <c r="D388" s="6" t="s">
        <v>1717</v>
      </c>
      <c r="E388" s="6"/>
      <c r="F388" s="7" t="s">
        <v>1718</v>
      </c>
      <c r="G388" s="7" t="s">
        <v>24</v>
      </c>
      <c r="H388" s="5" t="n">
        <v>3</v>
      </c>
      <c r="I388" s="6"/>
      <c r="J388" s="5" t="n">
        <v>0</v>
      </c>
      <c r="K388" s="6" t="s">
        <v>1719</v>
      </c>
      <c r="L388" s="6" t="s">
        <v>1720</v>
      </c>
      <c r="M388" s="6"/>
      <c r="N388" s="6"/>
      <c r="O388" s="6" t="s">
        <v>1721</v>
      </c>
      <c r="P388" s="6"/>
    </row>
    <row r="389" customFormat="false" ht="50.25" hidden="false" customHeight="true" outlineLevel="0" collapsed="false">
      <c r="A389" s="5" t="n">
        <v>54</v>
      </c>
      <c r="B389" s="6" t="s">
        <v>1682</v>
      </c>
      <c r="C389" s="6" t="s">
        <v>1716</v>
      </c>
      <c r="D389" s="6" t="s">
        <v>1722</v>
      </c>
      <c r="E389" s="6"/>
      <c r="F389" s="7" t="s">
        <v>1723</v>
      </c>
      <c r="G389" s="7" t="s">
        <v>31</v>
      </c>
      <c r="H389" s="5" t="n">
        <v>3</v>
      </c>
      <c r="I389" s="6"/>
      <c r="J389" s="5" t="n">
        <v>0</v>
      </c>
      <c r="K389" s="6" t="s">
        <v>304</v>
      </c>
      <c r="L389" s="6" t="s">
        <v>1724</v>
      </c>
      <c r="M389" s="6"/>
      <c r="N389" s="6" t="s">
        <v>1269</v>
      </c>
      <c r="O389" s="6" t="s">
        <v>1725</v>
      </c>
      <c r="P389" s="6"/>
    </row>
    <row r="390" customFormat="false" ht="72.75" hidden="false" customHeight="true" outlineLevel="0" collapsed="false">
      <c r="A390" s="5" t="s">
        <v>1726</v>
      </c>
      <c r="B390" s="6" t="s">
        <v>1682</v>
      </c>
      <c r="C390" s="6" t="s">
        <v>1716</v>
      </c>
      <c r="D390" s="6" t="s">
        <v>1722</v>
      </c>
      <c r="E390" s="6"/>
      <c r="F390" s="7" t="s">
        <v>1727</v>
      </c>
      <c r="G390" s="7" t="s">
        <v>24</v>
      </c>
      <c r="H390" s="5" t="n">
        <v>3</v>
      </c>
      <c r="I390" s="6"/>
      <c r="J390" s="5" t="n">
        <v>0</v>
      </c>
      <c r="K390" s="6" t="s">
        <v>1728</v>
      </c>
      <c r="L390" s="6" t="s">
        <v>1729</v>
      </c>
      <c r="M390" s="6"/>
      <c r="N390" s="6" t="s">
        <v>1269</v>
      </c>
      <c r="O390" s="6" t="s">
        <v>1730</v>
      </c>
      <c r="P390" s="6"/>
    </row>
    <row r="391" customFormat="false" ht="27.75" hidden="false" customHeight="true" outlineLevel="0" collapsed="false">
      <c r="A391" s="5" t="n">
        <v>55</v>
      </c>
      <c r="B391" s="6" t="s">
        <v>1682</v>
      </c>
      <c r="C391" s="6" t="s">
        <v>1716</v>
      </c>
      <c r="D391" s="6" t="s">
        <v>1722</v>
      </c>
      <c r="E391" s="6"/>
      <c r="F391" s="7" t="s">
        <v>1731</v>
      </c>
      <c r="G391" s="7" t="s">
        <v>50</v>
      </c>
      <c r="H391" s="5"/>
      <c r="I391" s="6"/>
      <c r="J391" s="5" t="n">
        <v>0</v>
      </c>
      <c r="K391" s="6" t="s">
        <v>51</v>
      </c>
      <c r="L391" s="6"/>
      <c r="M391" s="6"/>
      <c r="N391" s="6"/>
      <c r="O391" s="6" t="s">
        <v>1732</v>
      </c>
      <c r="P391" s="6"/>
    </row>
    <row r="392" customFormat="false" ht="50.25" hidden="false" customHeight="true" outlineLevel="0" collapsed="false">
      <c r="A392" s="5" t="s">
        <v>1733</v>
      </c>
      <c r="B392" s="6" t="s">
        <v>1682</v>
      </c>
      <c r="C392" s="6" t="s">
        <v>1716</v>
      </c>
      <c r="D392" s="6" t="s">
        <v>1734</v>
      </c>
      <c r="E392" s="6"/>
      <c r="F392" s="7" t="s">
        <v>1735</v>
      </c>
      <c r="G392" s="7" t="s">
        <v>24</v>
      </c>
      <c r="H392" s="5" t="n">
        <v>3</v>
      </c>
      <c r="I392" s="6"/>
      <c r="J392" s="5" t="n">
        <v>0</v>
      </c>
      <c r="K392" s="6" t="s">
        <v>1736</v>
      </c>
      <c r="L392" s="6" t="s">
        <v>1737</v>
      </c>
      <c r="M392" s="6"/>
      <c r="N392" s="6"/>
      <c r="O392" s="6" t="s">
        <v>1738</v>
      </c>
      <c r="P392" s="6"/>
    </row>
    <row r="393" customFormat="false" ht="61.5" hidden="false" customHeight="true" outlineLevel="0" collapsed="false">
      <c r="A393" s="5" t="s">
        <v>1739</v>
      </c>
      <c r="B393" s="6" t="s">
        <v>1682</v>
      </c>
      <c r="C393" s="6" t="s">
        <v>1716</v>
      </c>
      <c r="D393" s="6" t="s">
        <v>1734</v>
      </c>
      <c r="E393" s="6"/>
      <c r="F393" s="7" t="s">
        <v>1740</v>
      </c>
      <c r="G393" s="7" t="s">
        <v>24</v>
      </c>
      <c r="H393" s="5" t="n">
        <v>3</v>
      </c>
      <c r="I393" s="6"/>
      <c r="J393" s="5" t="n">
        <v>0</v>
      </c>
      <c r="K393" s="6" t="s">
        <v>1741</v>
      </c>
      <c r="L393" s="6" t="s">
        <v>1742</v>
      </c>
      <c r="M393" s="6"/>
      <c r="N393" s="6"/>
      <c r="O393" s="6" t="s">
        <v>1743</v>
      </c>
      <c r="P393" s="6"/>
    </row>
    <row r="394" customFormat="false" ht="61.5" hidden="false" customHeight="true" outlineLevel="0" collapsed="false">
      <c r="A394" s="5" t="s">
        <v>1744</v>
      </c>
      <c r="B394" s="6" t="s">
        <v>1682</v>
      </c>
      <c r="C394" s="6" t="s">
        <v>1716</v>
      </c>
      <c r="D394" s="6" t="s">
        <v>1745</v>
      </c>
      <c r="E394" s="6"/>
      <c r="F394" s="7" t="s">
        <v>1746</v>
      </c>
      <c r="G394" s="7" t="s">
        <v>24</v>
      </c>
      <c r="H394" s="5" t="n">
        <v>4</v>
      </c>
      <c r="I394" s="6"/>
      <c r="J394" s="5" t="n">
        <v>0</v>
      </c>
      <c r="K394" s="6" t="s">
        <v>1747</v>
      </c>
      <c r="L394" s="6" t="s">
        <v>1748</v>
      </c>
      <c r="M394" s="6"/>
      <c r="N394" s="6"/>
      <c r="O394" s="6" t="s">
        <v>1749</v>
      </c>
      <c r="P394" s="6"/>
    </row>
    <row r="395" customFormat="false" ht="221.25" hidden="false" customHeight="true" outlineLevel="0" collapsed="false">
      <c r="A395" s="5" t="s">
        <v>1750</v>
      </c>
      <c r="B395" s="6" t="s">
        <v>1751</v>
      </c>
      <c r="C395" s="6" t="s">
        <v>1752</v>
      </c>
      <c r="D395" s="6" t="s">
        <v>48</v>
      </c>
      <c r="E395" s="6"/>
      <c r="F395" s="7" t="s">
        <v>1753</v>
      </c>
      <c r="G395" s="7" t="s">
        <v>24</v>
      </c>
      <c r="H395" s="5" t="n">
        <v>4</v>
      </c>
      <c r="I395" s="6"/>
      <c r="J395" s="5" t="n">
        <v>28</v>
      </c>
      <c r="K395" s="6" t="s">
        <v>1754</v>
      </c>
      <c r="L395" s="6" t="s">
        <v>1755</v>
      </c>
      <c r="M395" s="6" t="s">
        <v>1058</v>
      </c>
      <c r="N395" s="6" t="s">
        <v>1756</v>
      </c>
      <c r="O395" s="6" t="s">
        <v>1757</v>
      </c>
      <c r="P395" s="6"/>
    </row>
    <row r="396" customFormat="false" ht="243.75" hidden="false" customHeight="true" outlineLevel="0" collapsed="false">
      <c r="A396" s="5" t="s">
        <v>1758</v>
      </c>
      <c r="B396" s="6" t="s">
        <v>1751</v>
      </c>
      <c r="C396" s="6" t="s">
        <v>1759</v>
      </c>
      <c r="D396" s="6" t="s">
        <v>1760</v>
      </c>
      <c r="E396" s="6"/>
      <c r="F396" s="7" t="s">
        <v>1761</v>
      </c>
      <c r="G396" s="7" t="s">
        <v>24</v>
      </c>
      <c r="H396" s="5" t="n">
        <v>3</v>
      </c>
      <c r="I396" s="6"/>
      <c r="J396" s="5" t="n">
        <v>21</v>
      </c>
      <c r="K396" s="6" t="s">
        <v>1762</v>
      </c>
      <c r="L396" s="6" t="s">
        <v>1763</v>
      </c>
      <c r="M396" s="6" t="s">
        <v>1764</v>
      </c>
      <c r="N396" s="6" t="s">
        <v>1765</v>
      </c>
      <c r="O396" s="6" t="s">
        <v>1766</v>
      </c>
      <c r="P396" s="6"/>
    </row>
    <row r="397" customFormat="false" ht="39" hidden="false" customHeight="true" outlineLevel="0" collapsed="false">
      <c r="A397" s="5" t="n">
        <v>236</v>
      </c>
      <c r="B397" s="6" t="s">
        <v>1751</v>
      </c>
      <c r="C397" s="6" t="s">
        <v>1767</v>
      </c>
      <c r="D397" s="6" t="s">
        <v>1768</v>
      </c>
      <c r="E397" s="6"/>
      <c r="F397" s="7" t="s">
        <v>1769</v>
      </c>
      <c r="G397" s="7" t="s">
        <v>50</v>
      </c>
      <c r="H397" s="5"/>
      <c r="I397" s="6"/>
      <c r="J397" s="5" t="n">
        <v>0</v>
      </c>
      <c r="K397" s="6" t="s">
        <v>51</v>
      </c>
      <c r="L397" s="6"/>
      <c r="M397" s="6"/>
      <c r="N397" s="6"/>
      <c r="O397" s="6" t="s">
        <v>1770</v>
      </c>
      <c r="P397" s="6" t="s">
        <v>1771</v>
      </c>
    </row>
    <row r="398" customFormat="false" ht="27.75" hidden="false" customHeight="true" outlineLevel="0" collapsed="false">
      <c r="A398" s="5" t="n">
        <v>237</v>
      </c>
      <c r="B398" s="6" t="s">
        <v>1751</v>
      </c>
      <c r="C398" s="6" t="s">
        <v>1767</v>
      </c>
      <c r="D398" s="6" t="s">
        <v>1772</v>
      </c>
      <c r="E398" s="6"/>
      <c r="F398" s="7" t="s">
        <v>1773</v>
      </c>
      <c r="G398" s="7" t="s">
        <v>50</v>
      </c>
      <c r="H398" s="5"/>
      <c r="I398" s="6"/>
      <c r="J398" s="5" t="n">
        <v>28</v>
      </c>
      <c r="K398" s="6" t="s">
        <v>51</v>
      </c>
      <c r="L398" s="6"/>
      <c r="M398" s="6"/>
      <c r="N398" s="6"/>
      <c r="O398" s="6" t="s">
        <v>1774</v>
      </c>
      <c r="P398" s="6" t="s">
        <v>1775</v>
      </c>
    </row>
    <row r="399" customFormat="false" ht="50.25" hidden="false" customHeight="true" outlineLevel="0" collapsed="false">
      <c r="A399" s="5" t="n">
        <v>238</v>
      </c>
      <c r="B399" s="6" t="s">
        <v>1751</v>
      </c>
      <c r="C399" s="6" t="s">
        <v>1767</v>
      </c>
      <c r="D399" s="6" t="s">
        <v>1772</v>
      </c>
      <c r="E399" s="6"/>
      <c r="F399" s="7" t="s">
        <v>1776</v>
      </c>
      <c r="G399" s="7" t="s">
        <v>31</v>
      </c>
      <c r="H399" s="5" t="n">
        <v>2</v>
      </c>
      <c r="I399" s="6"/>
      <c r="J399" s="5" t="n">
        <v>28</v>
      </c>
      <c r="K399" s="6" t="s">
        <v>1777</v>
      </c>
      <c r="L399" s="6" t="s">
        <v>1778</v>
      </c>
      <c r="M399" s="6"/>
      <c r="N399" s="6"/>
      <c r="O399" s="6" t="s">
        <v>1779</v>
      </c>
      <c r="P399" s="6" t="s">
        <v>1780</v>
      </c>
    </row>
    <row r="400" customFormat="false" ht="61.5" hidden="false" customHeight="true" outlineLevel="0" collapsed="false">
      <c r="A400" s="5" t="n">
        <v>240</v>
      </c>
      <c r="B400" s="6" t="s">
        <v>1751</v>
      </c>
      <c r="C400" s="6" t="s">
        <v>1767</v>
      </c>
      <c r="D400" s="6" t="s">
        <v>1772</v>
      </c>
      <c r="E400" s="6"/>
      <c r="F400" s="7" t="s">
        <v>1781</v>
      </c>
      <c r="G400" s="7" t="s">
        <v>31</v>
      </c>
      <c r="H400" s="5" t="n">
        <v>3</v>
      </c>
      <c r="I400" s="6"/>
      <c r="J400" s="5" t="n">
        <v>21</v>
      </c>
      <c r="K400" s="6" t="s">
        <v>1782</v>
      </c>
      <c r="L400" s="6" t="s">
        <v>1324</v>
      </c>
      <c r="M400" s="6" t="s">
        <v>407</v>
      </c>
      <c r="N400" s="6" t="s">
        <v>1783</v>
      </c>
      <c r="O400" s="6" t="s">
        <v>1784</v>
      </c>
      <c r="P400" s="6"/>
    </row>
    <row r="401" customFormat="false" ht="50.25" hidden="false" customHeight="true" outlineLevel="0" collapsed="false">
      <c r="A401" s="5" t="n">
        <v>243</v>
      </c>
      <c r="B401" s="6" t="s">
        <v>1751</v>
      </c>
      <c r="C401" s="6" t="s">
        <v>1767</v>
      </c>
      <c r="D401" s="6" t="s">
        <v>1772</v>
      </c>
      <c r="E401" s="6"/>
      <c r="F401" s="7" t="s">
        <v>1785</v>
      </c>
      <c r="G401" s="7" t="s">
        <v>31</v>
      </c>
      <c r="H401" s="5" t="n">
        <v>3</v>
      </c>
      <c r="I401" s="6"/>
      <c r="J401" s="5" t="n">
        <v>21</v>
      </c>
      <c r="K401" s="6" t="s">
        <v>250</v>
      </c>
      <c r="L401" s="6" t="s">
        <v>1324</v>
      </c>
      <c r="M401" s="6" t="s">
        <v>407</v>
      </c>
      <c r="N401" s="6" t="s">
        <v>1783</v>
      </c>
      <c r="O401" s="6" t="s">
        <v>1786</v>
      </c>
      <c r="P401" s="6"/>
    </row>
    <row r="402" customFormat="false" ht="50.25" hidden="false" customHeight="true" outlineLevel="0" collapsed="false">
      <c r="A402" s="5" t="n">
        <v>242</v>
      </c>
      <c r="B402" s="6" t="s">
        <v>1751</v>
      </c>
      <c r="C402" s="6" t="s">
        <v>1767</v>
      </c>
      <c r="D402" s="6" t="s">
        <v>1772</v>
      </c>
      <c r="E402" s="6"/>
      <c r="F402" s="7" t="s">
        <v>1787</v>
      </c>
      <c r="G402" s="7" t="s">
        <v>31</v>
      </c>
      <c r="H402" s="5" t="n">
        <v>3</v>
      </c>
      <c r="I402" s="6"/>
      <c r="J402" s="5" t="n">
        <v>21</v>
      </c>
      <c r="K402" s="6" t="s">
        <v>250</v>
      </c>
      <c r="L402" s="6" t="s">
        <v>1324</v>
      </c>
      <c r="M402" s="6" t="s">
        <v>407</v>
      </c>
      <c r="N402" s="6" t="s">
        <v>1783</v>
      </c>
      <c r="O402" s="6" t="s">
        <v>1788</v>
      </c>
      <c r="P402" s="6"/>
    </row>
    <row r="403" customFormat="false" ht="27.75" hidden="false" customHeight="true" outlineLevel="0" collapsed="false">
      <c r="A403" s="5" t="n">
        <v>239</v>
      </c>
      <c r="B403" s="6" t="s">
        <v>1751</v>
      </c>
      <c r="C403" s="6" t="s">
        <v>1767</v>
      </c>
      <c r="D403" s="6" t="s">
        <v>1772</v>
      </c>
      <c r="E403" s="6"/>
      <c r="F403" s="7" t="s">
        <v>1789</v>
      </c>
      <c r="G403" s="7" t="s">
        <v>50</v>
      </c>
      <c r="H403" s="5"/>
      <c r="I403" s="6"/>
      <c r="J403" s="5" t="n">
        <v>0</v>
      </c>
      <c r="K403" s="6" t="s">
        <v>51</v>
      </c>
      <c r="L403" s="6"/>
      <c r="M403" s="6"/>
      <c r="N403" s="6"/>
      <c r="O403" s="6" t="s">
        <v>1790</v>
      </c>
      <c r="P403" s="6" t="s">
        <v>1791</v>
      </c>
    </row>
    <row r="404" customFormat="false" ht="72.75" hidden="false" customHeight="true" outlineLevel="0" collapsed="false">
      <c r="A404" s="5" t="n">
        <v>247</v>
      </c>
      <c r="B404" s="6" t="s">
        <v>1751</v>
      </c>
      <c r="C404" s="6" t="s">
        <v>1767</v>
      </c>
      <c r="D404" s="6" t="s">
        <v>1792</v>
      </c>
      <c r="E404" s="6"/>
      <c r="F404" s="7" t="s">
        <v>1793</v>
      </c>
      <c r="G404" s="7" t="s">
        <v>31</v>
      </c>
      <c r="H404" s="5" t="n">
        <v>2</v>
      </c>
      <c r="I404" s="6"/>
      <c r="J404" s="5" t="n">
        <v>21</v>
      </c>
      <c r="K404" s="6" t="s">
        <v>1794</v>
      </c>
      <c r="L404" s="6" t="s">
        <v>1795</v>
      </c>
      <c r="M404" s="6" t="s">
        <v>1796</v>
      </c>
      <c r="N404" s="6" t="s">
        <v>1269</v>
      </c>
      <c r="O404" s="6" t="s">
        <v>1797</v>
      </c>
      <c r="P404" s="6"/>
    </row>
    <row r="405" customFormat="false" ht="72.75" hidden="false" customHeight="true" outlineLevel="0" collapsed="false">
      <c r="A405" s="5" t="n">
        <v>248</v>
      </c>
      <c r="B405" s="6" t="s">
        <v>1751</v>
      </c>
      <c r="C405" s="6" t="s">
        <v>1767</v>
      </c>
      <c r="D405" s="6" t="s">
        <v>1792</v>
      </c>
      <c r="E405" s="6"/>
      <c r="F405" s="7" t="s">
        <v>1798</v>
      </c>
      <c r="G405" s="7" t="s">
        <v>31</v>
      </c>
      <c r="H405" s="5" t="n">
        <v>2</v>
      </c>
      <c r="I405" s="6"/>
      <c r="J405" s="5" t="n">
        <v>21</v>
      </c>
      <c r="K405" s="6" t="s">
        <v>1799</v>
      </c>
      <c r="L405" s="6" t="s">
        <v>1800</v>
      </c>
      <c r="M405" s="6" t="s">
        <v>1801</v>
      </c>
      <c r="N405" s="6" t="s">
        <v>1120</v>
      </c>
      <c r="O405" s="6" t="s">
        <v>1802</v>
      </c>
      <c r="P405" s="6"/>
    </row>
    <row r="406" customFormat="false" ht="186.75" hidden="false" customHeight="true" outlineLevel="0" collapsed="false">
      <c r="A406" s="5" t="s">
        <v>1803</v>
      </c>
      <c r="B406" s="6" t="s">
        <v>1751</v>
      </c>
      <c r="C406" s="6" t="s">
        <v>1767</v>
      </c>
      <c r="D406" s="6" t="s">
        <v>1792</v>
      </c>
      <c r="E406" s="6"/>
      <c r="F406" s="7" t="s">
        <v>1804</v>
      </c>
      <c r="G406" s="7" t="s">
        <v>24</v>
      </c>
      <c r="H406" s="5" t="n">
        <v>2</v>
      </c>
      <c r="I406" s="6"/>
      <c r="J406" s="5" t="n">
        <v>21</v>
      </c>
      <c r="K406" s="6" t="s">
        <v>1805</v>
      </c>
      <c r="L406" s="6" t="s">
        <v>1806</v>
      </c>
      <c r="M406" s="6" t="s">
        <v>1796</v>
      </c>
      <c r="N406" s="6" t="s">
        <v>1269</v>
      </c>
      <c r="O406" s="6" t="s">
        <v>1807</v>
      </c>
      <c r="P406" s="6"/>
    </row>
    <row r="407" customFormat="false" ht="107.25" hidden="false" customHeight="true" outlineLevel="0" collapsed="false">
      <c r="A407" s="5" t="s">
        <v>1808</v>
      </c>
      <c r="B407" s="6" t="s">
        <v>1751</v>
      </c>
      <c r="C407" s="6" t="s">
        <v>1767</v>
      </c>
      <c r="D407" s="6" t="s">
        <v>1792</v>
      </c>
      <c r="E407" s="6"/>
      <c r="F407" s="7" t="s">
        <v>1809</v>
      </c>
      <c r="G407" s="7" t="s">
        <v>24</v>
      </c>
      <c r="H407" s="5" t="n">
        <v>4</v>
      </c>
      <c r="I407" s="6"/>
      <c r="J407" s="5" t="n">
        <v>42</v>
      </c>
      <c r="K407" s="6" t="s">
        <v>1810</v>
      </c>
      <c r="L407" s="6" t="s">
        <v>1811</v>
      </c>
      <c r="M407" s="6" t="s">
        <v>1428</v>
      </c>
      <c r="N407" s="6"/>
      <c r="O407" s="6" t="s">
        <v>1812</v>
      </c>
      <c r="P407" s="6"/>
    </row>
    <row r="408" customFormat="false" ht="27.75" hidden="false" customHeight="true" outlineLevel="0" collapsed="false">
      <c r="A408" s="5" t="n">
        <v>245</v>
      </c>
      <c r="B408" s="6" t="s">
        <v>1751</v>
      </c>
      <c r="C408" s="6" t="s">
        <v>1767</v>
      </c>
      <c r="D408" s="6" t="s">
        <v>1792</v>
      </c>
      <c r="E408" s="6"/>
      <c r="F408" s="7" t="s">
        <v>1813</v>
      </c>
      <c r="G408" s="7" t="s">
        <v>50</v>
      </c>
      <c r="H408" s="5"/>
      <c r="I408" s="6"/>
      <c r="J408" s="5" t="n">
        <v>28</v>
      </c>
      <c r="K408" s="6" t="s">
        <v>51</v>
      </c>
      <c r="L408" s="6"/>
      <c r="M408" s="6" t="s">
        <v>407</v>
      </c>
      <c r="N408" s="6"/>
      <c r="O408" s="6" t="s">
        <v>1814</v>
      </c>
      <c r="P408" s="6"/>
    </row>
    <row r="409" customFormat="false" ht="50.25" hidden="false" customHeight="true" outlineLevel="0" collapsed="false">
      <c r="A409" s="5" t="n">
        <v>246</v>
      </c>
      <c r="B409" s="6" t="s">
        <v>1751</v>
      </c>
      <c r="C409" s="6" t="s">
        <v>1767</v>
      </c>
      <c r="D409" s="6" t="s">
        <v>1792</v>
      </c>
      <c r="E409" s="6"/>
      <c r="F409" s="7" t="s">
        <v>1815</v>
      </c>
      <c r="G409" s="7" t="s">
        <v>50</v>
      </c>
      <c r="H409" s="5"/>
      <c r="I409" s="6"/>
      <c r="J409" s="5" t="n">
        <v>28</v>
      </c>
      <c r="K409" s="6" t="s">
        <v>51</v>
      </c>
      <c r="L409" s="6"/>
      <c r="M409" s="6" t="s">
        <v>1816</v>
      </c>
      <c r="N409" s="6"/>
      <c r="O409" s="6" t="s">
        <v>1817</v>
      </c>
      <c r="P409" s="6"/>
    </row>
    <row r="410" customFormat="false" ht="61.5" hidden="false" customHeight="true" outlineLevel="0" collapsed="false">
      <c r="A410" s="5" t="n">
        <v>241</v>
      </c>
      <c r="B410" s="6" t="s">
        <v>1751</v>
      </c>
      <c r="C410" s="6" t="s">
        <v>1767</v>
      </c>
      <c r="D410" s="6" t="s">
        <v>1792</v>
      </c>
      <c r="E410" s="6"/>
      <c r="F410" s="7" t="s">
        <v>1818</v>
      </c>
      <c r="G410" s="7" t="s">
        <v>31</v>
      </c>
      <c r="H410" s="5" t="n">
        <v>3</v>
      </c>
      <c r="I410" s="6"/>
      <c r="J410" s="5" t="n">
        <v>21</v>
      </c>
      <c r="K410" s="6" t="s">
        <v>1819</v>
      </c>
      <c r="L410" s="6" t="s">
        <v>1324</v>
      </c>
      <c r="M410" s="6" t="s">
        <v>407</v>
      </c>
      <c r="N410" s="6" t="s">
        <v>1783</v>
      </c>
      <c r="O410" s="6" t="s">
        <v>1820</v>
      </c>
      <c r="P410" s="6"/>
    </row>
    <row r="411" customFormat="false" ht="72.75" hidden="false" customHeight="true" outlineLevel="0" collapsed="false">
      <c r="A411" s="5" t="s">
        <v>1821</v>
      </c>
      <c r="B411" s="6" t="s">
        <v>1751</v>
      </c>
      <c r="C411" s="6" t="s">
        <v>1767</v>
      </c>
      <c r="D411" s="6" t="s">
        <v>1792</v>
      </c>
      <c r="E411" s="6"/>
      <c r="F411" s="7" t="s">
        <v>1822</v>
      </c>
      <c r="G411" s="7" t="s">
        <v>24</v>
      </c>
      <c r="H411" s="5" t="n">
        <v>4</v>
      </c>
      <c r="I411" s="6"/>
      <c r="J411" s="5" t="n">
        <v>28</v>
      </c>
      <c r="K411" s="6" t="s">
        <v>1823</v>
      </c>
      <c r="L411" s="6" t="s">
        <v>1824</v>
      </c>
      <c r="M411" s="6"/>
      <c r="N411" s="6"/>
      <c r="O411" s="6" t="s">
        <v>1825</v>
      </c>
      <c r="P411" s="6"/>
    </row>
    <row r="412" customFormat="false" ht="27.75" hidden="false" customHeight="true" outlineLevel="0" collapsed="false">
      <c r="A412" s="5" t="n">
        <v>274</v>
      </c>
      <c r="B412" s="6" t="s">
        <v>1751</v>
      </c>
      <c r="C412" s="6" t="s">
        <v>1767</v>
      </c>
      <c r="D412" s="6" t="s">
        <v>1792</v>
      </c>
      <c r="E412" s="6"/>
      <c r="F412" s="7" t="s">
        <v>1826</v>
      </c>
      <c r="G412" s="7" t="s">
        <v>50</v>
      </c>
      <c r="H412" s="5"/>
      <c r="I412" s="6"/>
      <c r="J412" s="5" t="n">
        <v>28</v>
      </c>
      <c r="K412" s="6" t="s">
        <v>51</v>
      </c>
      <c r="L412" s="6"/>
      <c r="M412" s="6"/>
      <c r="N412" s="6"/>
      <c r="O412" s="6" t="s">
        <v>1827</v>
      </c>
      <c r="P412" s="6"/>
    </row>
    <row r="413" customFormat="false" ht="27.75" hidden="false" customHeight="true" outlineLevel="0" collapsed="false">
      <c r="A413" s="5" t="n">
        <v>244</v>
      </c>
      <c r="B413" s="6" t="s">
        <v>1751</v>
      </c>
      <c r="C413" s="6" t="s">
        <v>1767</v>
      </c>
      <c r="D413" s="6" t="s">
        <v>1792</v>
      </c>
      <c r="E413" s="6"/>
      <c r="F413" s="7" t="s">
        <v>1828</v>
      </c>
      <c r="G413" s="7" t="s">
        <v>50</v>
      </c>
      <c r="H413" s="5"/>
      <c r="I413" s="6"/>
      <c r="J413" s="5" t="n">
        <v>28</v>
      </c>
      <c r="K413" s="6" t="s">
        <v>51</v>
      </c>
      <c r="L413" s="6"/>
      <c r="M413" s="6"/>
      <c r="N413" s="6"/>
      <c r="O413" s="6" t="s">
        <v>1829</v>
      </c>
      <c r="P413" s="6"/>
    </row>
    <row r="414" customFormat="false" ht="61.5" hidden="false" customHeight="true" outlineLevel="0" collapsed="false">
      <c r="A414" s="5" t="n">
        <v>249</v>
      </c>
      <c r="B414" s="6" t="s">
        <v>1751</v>
      </c>
      <c r="C414" s="6" t="s">
        <v>1767</v>
      </c>
      <c r="D414" s="6" t="s">
        <v>1792</v>
      </c>
      <c r="E414" s="6"/>
      <c r="F414" s="7" t="s">
        <v>1830</v>
      </c>
      <c r="G414" s="7" t="s">
        <v>31</v>
      </c>
      <c r="H414" s="5" t="n">
        <v>3</v>
      </c>
      <c r="I414" s="6"/>
      <c r="J414" s="5" t="n">
        <v>21</v>
      </c>
      <c r="K414" s="6" t="s">
        <v>1404</v>
      </c>
      <c r="L414" s="6" t="s">
        <v>1831</v>
      </c>
      <c r="M414" s="6" t="s">
        <v>1479</v>
      </c>
      <c r="N414" s="6"/>
      <c r="O414" s="6" t="s">
        <v>1832</v>
      </c>
      <c r="P414" s="6" t="s">
        <v>1833</v>
      </c>
    </row>
    <row r="415" customFormat="false" ht="50.25" hidden="false" customHeight="true" outlineLevel="0" collapsed="false">
      <c r="A415" s="5" t="n">
        <v>250</v>
      </c>
      <c r="B415" s="6" t="s">
        <v>1751</v>
      </c>
      <c r="C415" s="6" t="s">
        <v>1767</v>
      </c>
      <c r="D415" s="6" t="s">
        <v>1834</v>
      </c>
      <c r="E415" s="6"/>
      <c r="F415" s="7" t="s">
        <v>1835</v>
      </c>
      <c r="G415" s="7" t="s">
        <v>31</v>
      </c>
      <c r="H415" s="5" t="n">
        <v>3</v>
      </c>
      <c r="I415" s="6"/>
      <c r="J415" s="5" t="n">
        <v>21</v>
      </c>
      <c r="K415" s="6" t="s">
        <v>87</v>
      </c>
      <c r="L415" s="6" t="s">
        <v>1836</v>
      </c>
      <c r="M415" s="6" t="s">
        <v>783</v>
      </c>
      <c r="N415" s="6" t="s">
        <v>454</v>
      </c>
      <c r="O415" s="6" t="s">
        <v>1065</v>
      </c>
      <c r="P415" s="6"/>
    </row>
    <row r="416" customFormat="false" ht="27.75" hidden="false" customHeight="true" outlineLevel="0" collapsed="false">
      <c r="A416" s="5" t="n">
        <v>272</v>
      </c>
      <c r="B416" s="6" t="s">
        <v>1751</v>
      </c>
      <c r="C416" s="6" t="s">
        <v>1767</v>
      </c>
      <c r="D416" s="6" t="s">
        <v>1834</v>
      </c>
      <c r="E416" s="6"/>
      <c r="F416" s="7" t="s">
        <v>1837</v>
      </c>
      <c r="G416" s="7" t="s">
        <v>50</v>
      </c>
      <c r="H416" s="5"/>
      <c r="I416" s="6"/>
      <c r="J416" s="5" t="n">
        <v>28</v>
      </c>
      <c r="K416" s="6" t="s">
        <v>51</v>
      </c>
      <c r="L416" s="6"/>
      <c r="M416" s="6" t="s">
        <v>346</v>
      </c>
      <c r="N416" s="6" t="s">
        <v>454</v>
      </c>
      <c r="O416" s="6" t="s">
        <v>1065</v>
      </c>
      <c r="P416" s="6"/>
    </row>
    <row r="417" customFormat="false" ht="96" hidden="false" customHeight="true" outlineLevel="0" collapsed="false">
      <c r="A417" s="5" t="n">
        <v>251</v>
      </c>
      <c r="B417" s="6" t="s">
        <v>1751</v>
      </c>
      <c r="C417" s="6" t="s">
        <v>1767</v>
      </c>
      <c r="D417" s="6" t="s">
        <v>1834</v>
      </c>
      <c r="E417" s="6"/>
      <c r="F417" s="7" t="s">
        <v>1838</v>
      </c>
      <c r="G417" s="7" t="s">
        <v>331</v>
      </c>
      <c r="H417" s="5" t="n">
        <v>2</v>
      </c>
      <c r="I417" s="6"/>
      <c r="J417" s="5" t="n">
        <v>21</v>
      </c>
      <c r="K417" s="6" t="s">
        <v>1839</v>
      </c>
      <c r="L417" s="6" t="s">
        <v>1840</v>
      </c>
      <c r="M417" s="6" t="s">
        <v>794</v>
      </c>
      <c r="N417" s="6" t="s">
        <v>368</v>
      </c>
      <c r="O417" s="6" t="s">
        <v>1841</v>
      </c>
      <c r="P417" s="6"/>
    </row>
    <row r="418" customFormat="false" ht="118.5" hidden="false" customHeight="true" outlineLevel="0" collapsed="false">
      <c r="A418" s="5" t="n">
        <v>273</v>
      </c>
      <c r="B418" s="6" t="s">
        <v>1751</v>
      </c>
      <c r="C418" s="6" t="s">
        <v>1767</v>
      </c>
      <c r="D418" s="6" t="s">
        <v>1834</v>
      </c>
      <c r="E418" s="6"/>
      <c r="F418" s="7" t="s">
        <v>1842</v>
      </c>
      <c r="G418" s="7" t="s">
        <v>331</v>
      </c>
      <c r="H418" s="5" t="n">
        <v>1</v>
      </c>
      <c r="I418" s="6"/>
      <c r="J418" s="5" t="n">
        <v>21</v>
      </c>
      <c r="K418" s="6" t="s">
        <v>1843</v>
      </c>
      <c r="L418" s="6" t="s">
        <v>1844</v>
      </c>
      <c r="M418" s="6" t="s">
        <v>527</v>
      </c>
      <c r="N418" s="6" t="s">
        <v>368</v>
      </c>
      <c r="O418" s="6" t="s">
        <v>1845</v>
      </c>
      <c r="P418" s="6"/>
    </row>
    <row r="419" customFormat="false" ht="84.75" hidden="false" customHeight="true" outlineLevel="0" collapsed="false">
      <c r="A419" s="5" t="s">
        <v>1846</v>
      </c>
      <c r="B419" s="6" t="s">
        <v>1751</v>
      </c>
      <c r="C419" s="6" t="s">
        <v>1847</v>
      </c>
      <c r="D419" s="6" t="s">
        <v>1848</v>
      </c>
      <c r="E419" s="6"/>
      <c r="F419" s="7" t="s">
        <v>1849</v>
      </c>
      <c r="G419" s="7" t="s">
        <v>24</v>
      </c>
      <c r="H419" s="5" t="n">
        <v>4</v>
      </c>
      <c r="I419" s="6"/>
      <c r="J419" s="5" t="n">
        <v>21</v>
      </c>
      <c r="K419" s="6" t="s">
        <v>1850</v>
      </c>
      <c r="L419" s="6" t="s">
        <v>1851</v>
      </c>
      <c r="M419" s="6" t="s">
        <v>1852</v>
      </c>
      <c r="N419" s="6" t="s">
        <v>454</v>
      </c>
      <c r="O419" s="6" t="s">
        <v>1853</v>
      </c>
      <c r="P419" s="6"/>
    </row>
    <row r="420" customFormat="false" ht="141.75" hidden="false" customHeight="true" outlineLevel="0" collapsed="false">
      <c r="A420" s="5" t="n">
        <v>256</v>
      </c>
      <c r="B420" s="6" t="s">
        <v>1751</v>
      </c>
      <c r="C420" s="6" t="s">
        <v>1847</v>
      </c>
      <c r="D420" s="6" t="s">
        <v>1848</v>
      </c>
      <c r="E420" s="6"/>
      <c r="F420" s="7" t="s">
        <v>1854</v>
      </c>
      <c r="G420" s="7" t="s">
        <v>31</v>
      </c>
      <c r="H420" s="5" t="n">
        <v>2</v>
      </c>
      <c r="I420" s="6"/>
      <c r="J420" s="5" t="n">
        <v>21</v>
      </c>
      <c r="K420" s="6" t="s">
        <v>1855</v>
      </c>
      <c r="L420" s="6" t="s">
        <v>1856</v>
      </c>
      <c r="M420" s="6" t="s">
        <v>1764</v>
      </c>
      <c r="N420" s="6" t="s">
        <v>1064</v>
      </c>
      <c r="O420" s="6" t="s">
        <v>1857</v>
      </c>
      <c r="P420" s="6"/>
    </row>
    <row r="421" customFormat="false" ht="96" hidden="false" customHeight="true" outlineLevel="0" collapsed="false">
      <c r="A421" s="5" t="n">
        <v>257</v>
      </c>
      <c r="B421" s="6" t="s">
        <v>1751</v>
      </c>
      <c r="C421" s="6" t="s">
        <v>1847</v>
      </c>
      <c r="D421" s="6" t="s">
        <v>1848</v>
      </c>
      <c r="E421" s="6"/>
      <c r="F421" s="7" t="s">
        <v>1858</v>
      </c>
      <c r="G421" s="7" t="s">
        <v>31</v>
      </c>
      <c r="H421" s="5" t="n">
        <v>2</v>
      </c>
      <c r="I421" s="6"/>
      <c r="J421" s="5" t="n">
        <v>21</v>
      </c>
      <c r="K421" s="6" t="s">
        <v>1111</v>
      </c>
      <c r="L421" s="6" t="s">
        <v>1859</v>
      </c>
      <c r="M421" s="6" t="s">
        <v>1860</v>
      </c>
      <c r="N421" s="6" t="s">
        <v>1064</v>
      </c>
      <c r="O421" s="6" t="s">
        <v>1861</v>
      </c>
      <c r="P421" s="6"/>
    </row>
    <row r="422" customFormat="false" ht="50.25" hidden="false" customHeight="true" outlineLevel="0" collapsed="false">
      <c r="A422" s="5" t="n">
        <v>252</v>
      </c>
      <c r="B422" s="6" t="s">
        <v>1751</v>
      </c>
      <c r="C422" s="6" t="s">
        <v>1847</v>
      </c>
      <c r="D422" s="6" t="s">
        <v>1862</v>
      </c>
      <c r="E422" s="6"/>
      <c r="F422" s="7" t="s">
        <v>1863</v>
      </c>
      <c r="G422" s="7" t="s">
        <v>50</v>
      </c>
      <c r="H422" s="5"/>
      <c r="I422" s="6"/>
      <c r="J422" s="5" t="n">
        <v>0</v>
      </c>
      <c r="K422" s="6" t="s">
        <v>591</v>
      </c>
      <c r="L422" s="6"/>
      <c r="M422" s="6" t="s">
        <v>346</v>
      </c>
      <c r="N422" s="6" t="s">
        <v>28</v>
      </c>
      <c r="O422" s="6" t="s">
        <v>1864</v>
      </c>
      <c r="P422" s="6"/>
    </row>
    <row r="423" customFormat="false" ht="141.75" hidden="false" customHeight="true" outlineLevel="0" collapsed="false">
      <c r="A423" s="5" t="n">
        <v>253</v>
      </c>
      <c r="B423" s="6" t="s">
        <v>1751</v>
      </c>
      <c r="C423" s="6" t="s">
        <v>1847</v>
      </c>
      <c r="D423" s="6" t="s">
        <v>1865</v>
      </c>
      <c r="E423" s="6"/>
      <c r="F423" s="7" t="s">
        <v>1866</v>
      </c>
      <c r="G423" s="7" t="s">
        <v>331</v>
      </c>
      <c r="H423" s="5" t="n">
        <v>1</v>
      </c>
      <c r="I423" s="6"/>
      <c r="J423" s="5" t="n">
        <v>21</v>
      </c>
      <c r="K423" s="6" t="s">
        <v>1867</v>
      </c>
      <c r="L423" s="6" t="s">
        <v>1868</v>
      </c>
      <c r="M423" s="6" t="s">
        <v>1869</v>
      </c>
      <c r="N423" s="6" t="s">
        <v>1064</v>
      </c>
      <c r="O423" s="6" t="s">
        <v>1870</v>
      </c>
      <c r="P423" s="6" t="s">
        <v>1871</v>
      </c>
    </row>
    <row r="424" customFormat="false" ht="96" hidden="false" customHeight="true" outlineLevel="0" collapsed="false">
      <c r="A424" s="5" t="n">
        <v>254</v>
      </c>
      <c r="B424" s="6" t="s">
        <v>1751</v>
      </c>
      <c r="C424" s="6" t="s">
        <v>1847</v>
      </c>
      <c r="D424" s="6" t="s">
        <v>1865</v>
      </c>
      <c r="E424" s="6"/>
      <c r="F424" s="7" t="s">
        <v>1872</v>
      </c>
      <c r="G424" s="7" t="s">
        <v>31</v>
      </c>
      <c r="H424" s="5" t="n">
        <v>2</v>
      </c>
      <c r="I424" s="6"/>
      <c r="J424" s="5" t="n">
        <v>21</v>
      </c>
      <c r="K424" s="6" t="s">
        <v>1111</v>
      </c>
      <c r="L424" s="6" t="s">
        <v>1859</v>
      </c>
      <c r="M424" s="6" t="s">
        <v>527</v>
      </c>
      <c r="N424" s="6" t="s">
        <v>1064</v>
      </c>
      <c r="O424" s="6" t="s">
        <v>1873</v>
      </c>
      <c r="P424" s="6" t="s">
        <v>1874</v>
      </c>
    </row>
    <row r="425" customFormat="false" ht="96" hidden="false" customHeight="true" outlineLevel="0" collapsed="false">
      <c r="A425" s="5" t="n">
        <v>255</v>
      </c>
      <c r="B425" s="6" t="s">
        <v>1751</v>
      </c>
      <c r="C425" s="6" t="s">
        <v>1847</v>
      </c>
      <c r="D425" s="6" t="s">
        <v>1865</v>
      </c>
      <c r="E425" s="6"/>
      <c r="F425" s="7" t="s">
        <v>1875</v>
      </c>
      <c r="G425" s="7" t="s">
        <v>31</v>
      </c>
      <c r="H425" s="5" t="n">
        <v>2</v>
      </c>
      <c r="I425" s="6"/>
      <c r="J425" s="5" t="n">
        <v>21</v>
      </c>
      <c r="K425" s="6" t="s">
        <v>1111</v>
      </c>
      <c r="L425" s="6" t="s">
        <v>1859</v>
      </c>
      <c r="M425" s="6" t="s">
        <v>1860</v>
      </c>
      <c r="N425" s="6" t="s">
        <v>1064</v>
      </c>
      <c r="O425" s="6" t="s">
        <v>1876</v>
      </c>
      <c r="P425" s="6" t="s">
        <v>1874</v>
      </c>
    </row>
    <row r="426" customFormat="false" ht="72.75" hidden="false" customHeight="true" outlineLevel="0" collapsed="false">
      <c r="A426" s="5" t="n">
        <v>283</v>
      </c>
      <c r="B426" s="6" t="s">
        <v>1751</v>
      </c>
      <c r="C426" s="6" t="s">
        <v>1877</v>
      </c>
      <c r="D426" s="6" t="s">
        <v>78</v>
      </c>
      <c r="E426" s="6"/>
      <c r="F426" s="7" t="s">
        <v>1878</v>
      </c>
      <c r="G426" s="7" t="s">
        <v>31</v>
      </c>
      <c r="H426" s="5" t="n">
        <v>3</v>
      </c>
      <c r="I426" s="6"/>
      <c r="J426" s="5" t="n">
        <v>21</v>
      </c>
      <c r="K426" s="6" t="s">
        <v>1123</v>
      </c>
      <c r="L426" s="6" t="s">
        <v>1879</v>
      </c>
      <c r="M426" s="6" t="s">
        <v>362</v>
      </c>
      <c r="N426" s="6" t="s">
        <v>1120</v>
      </c>
      <c r="O426" s="6" t="s">
        <v>1880</v>
      </c>
      <c r="P426" s="6" t="s">
        <v>1881</v>
      </c>
    </row>
    <row r="427" customFormat="false" ht="15.75" hidden="false" customHeight="true" outlineLevel="0" collapsed="false">
      <c r="A427" s="5" t="n">
        <v>233</v>
      </c>
      <c r="B427" s="6" t="s">
        <v>1751</v>
      </c>
      <c r="C427" s="6" t="s">
        <v>1877</v>
      </c>
      <c r="D427" s="6" t="s">
        <v>48</v>
      </c>
      <c r="E427" s="6"/>
      <c r="F427" s="7" t="s">
        <v>1882</v>
      </c>
      <c r="G427" s="7" t="s">
        <v>50</v>
      </c>
      <c r="H427" s="5"/>
      <c r="I427" s="6"/>
      <c r="J427" s="5" t="n">
        <v>28</v>
      </c>
      <c r="K427" s="6" t="s">
        <v>51</v>
      </c>
      <c r="L427" s="6"/>
      <c r="M427" s="6"/>
      <c r="N427" s="6"/>
      <c r="O427" s="6" t="s">
        <v>1883</v>
      </c>
      <c r="P427" s="6"/>
    </row>
    <row r="428" customFormat="false" ht="107.25" hidden="false" customHeight="true" outlineLevel="0" collapsed="false">
      <c r="A428" s="5" t="n">
        <v>230</v>
      </c>
      <c r="B428" s="6" t="s">
        <v>1751</v>
      </c>
      <c r="C428" s="6" t="s">
        <v>1877</v>
      </c>
      <c r="D428" s="6" t="s">
        <v>48</v>
      </c>
      <c r="E428" s="6"/>
      <c r="F428" s="7" t="s">
        <v>1884</v>
      </c>
      <c r="G428" s="7" t="s">
        <v>31</v>
      </c>
      <c r="H428" s="5" t="n">
        <v>2</v>
      </c>
      <c r="I428" s="6"/>
      <c r="J428" s="5" t="n">
        <v>21</v>
      </c>
      <c r="K428" s="6" t="s">
        <v>228</v>
      </c>
      <c r="L428" s="6" t="s">
        <v>229</v>
      </c>
      <c r="M428" s="6" t="s">
        <v>1885</v>
      </c>
      <c r="N428" s="6" t="s">
        <v>368</v>
      </c>
      <c r="O428" s="6" t="s">
        <v>1886</v>
      </c>
      <c r="P428" s="6"/>
    </row>
    <row r="429" customFormat="false" ht="84.75" hidden="false" customHeight="true" outlineLevel="0" collapsed="false">
      <c r="A429" s="5" t="n">
        <v>232</v>
      </c>
      <c r="B429" s="6" t="s">
        <v>1751</v>
      </c>
      <c r="C429" s="6" t="s">
        <v>1877</v>
      </c>
      <c r="D429" s="6" t="s">
        <v>48</v>
      </c>
      <c r="E429" s="6"/>
      <c r="F429" s="7" t="s">
        <v>1887</v>
      </c>
      <c r="G429" s="7" t="s">
        <v>50</v>
      </c>
      <c r="H429" s="5"/>
      <c r="I429" s="6"/>
      <c r="J429" s="5" t="n">
        <v>21</v>
      </c>
      <c r="K429" s="6" t="s">
        <v>51</v>
      </c>
      <c r="L429" s="6"/>
      <c r="M429" s="6" t="s">
        <v>1888</v>
      </c>
      <c r="N429" s="6"/>
      <c r="O429" s="6" t="s">
        <v>1889</v>
      </c>
      <c r="P429" s="6"/>
    </row>
    <row r="430" customFormat="false" ht="50.25" hidden="false" customHeight="true" outlineLevel="0" collapsed="false">
      <c r="A430" s="5" t="n">
        <v>231</v>
      </c>
      <c r="B430" s="6" t="s">
        <v>1751</v>
      </c>
      <c r="C430" s="6" t="s">
        <v>1877</v>
      </c>
      <c r="D430" s="6" t="s">
        <v>48</v>
      </c>
      <c r="E430" s="6"/>
      <c r="F430" s="7" t="s">
        <v>1890</v>
      </c>
      <c r="G430" s="7" t="s">
        <v>50</v>
      </c>
      <c r="H430" s="5"/>
      <c r="I430" s="6"/>
      <c r="J430" s="5" t="n">
        <v>28</v>
      </c>
      <c r="K430" s="6" t="s">
        <v>51</v>
      </c>
      <c r="L430" s="6"/>
      <c r="M430" s="6" t="s">
        <v>1891</v>
      </c>
      <c r="N430" s="6"/>
      <c r="O430" s="6" t="s">
        <v>1892</v>
      </c>
      <c r="P430" s="6"/>
    </row>
    <row r="431" customFormat="false" ht="61.5" hidden="false" customHeight="true" outlineLevel="0" collapsed="false">
      <c r="A431" s="5" t="s">
        <v>1893</v>
      </c>
      <c r="B431" s="6" t="s">
        <v>1751</v>
      </c>
      <c r="C431" s="6" t="s">
        <v>1877</v>
      </c>
      <c r="D431" s="6" t="s">
        <v>48</v>
      </c>
      <c r="E431" s="6"/>
      <c r="F431" s="7" t="s">
        <v>1894</v>
      </c>
      <c r="G431" s="7" t="s">
        <v>24</v>
      </c>
      <c r="H431" s="5" t="n">
        <v>4</v>
      </c>
      <c r="I431" s="6"/>
      <c r="J431" s="5" t="n">
        <v>28</v>
      </c>
      <c r="K431" s="6" t="s">
        <v>1895</v>
      </c>
      <c r="L431" s="6" t="s">
        <v>1896</v>
      </c>
      <c r="M431" s="6"/>
      <c r="N431" s="6"/>
      <c r="O431" s="6" t="s">
        <v>1897</v>
      </c>
      <c r="P431" s="6"/>
    </row>
    <row r="432" customFormat="false" ht="96" hidden="false" customHeight="true" outlineLevel="0" collapsed="false">
      <c r="A432" s="5" t="n">
        <v>234</v>
      </c>
      <c r="B432" s="6" t="s">
        <v>1751</v>
      </c>
      <c r="C432" s="6" t="s">
        <v>1877</v>
      </c>
      <c r="D432" s="6" t="s">
        <v>48</v>
      </c>
      <c r="E432" s="6"/>
      <c r="F432" s="7" t="s">
        <v>1898</v>
      </c>
      <c r="G432" s="7" t="s">
        <v>31</v>
      </c>
      <c r="H432" s="5" t="n">
        <v>2</v>
      </c>
      <c r="I432" s="6"/>
      <c r="J432" s="5" t="n">
        <v>28</v>
      </c>
      <c r="K432" s="6" t="s">
        <v>1899</v>
      </c>
      <c r="L432" s="6" t="s">
        <v>1900</v>
      </c>
      <c r="M432" s="6" t="s">
        <v>1115</v>
      </c>
      <c r="N432" s="6" t="s">
        <v>1059</v>
      </c>
      <c r="O432" s="6" t="s">
        <v>1901</v>
      </c>
      <c r="P432" s="6"/>
    </row>
    <row r="433" customFormat="false" ht="72.75" hidden="false" customHeight="true" outlineLevel="0" collapsed="false">
      <c r="A433" s="5" t="n">
        <v>235</v>
      </c>
      <c r="B433" s="6" t="s">
        <v>1751</v>
      </c>
      <c r="C433" s="6" t="s">
        <v>1877</v>
      </c>
      <c r="D433" s="6" t="s">
        <v>1902</v>
      </c>
      <c r="E433" s="6"/>
      <c r="F433" s="7" t="s">
        <v>1903</v>
      </c>
      <c r="G433" s="7" t="s">
        <v>31</v>
      </c>
      <c r="H433" s="5" t="n">
        <v>2</v>
      </c>
      <c r="I433" s="6"/>
      <c r="J433" s="5" t="n">
        <v>21</v>
      </c>
      <c r="K433" s="6" t="s">
        <v>1640</v>
      </c>
      <c r="L433" s="6" t="s">
        <v>1904</v>
      </c>
      <c r="M433" s="6" t="s">
        <v>527</v>
      </c>
      <c r="N433" s="6" t="s">
        <v>1756</v>
      </c>
      <c r="O433" s="6" t="s">
        <v>1905</v>
      </c>
      <c r="P433" s="6" t="s">
        <v>1906</v>
      </c>
    </row>
    <row r="434" customFormat="false" ht="96" hidden="false" customHeight="true" outlineLevel="0" collapsed="false">
      <c r="A434" s="5" t="n">
        <v>287</v>
      </c>
      <c r="B434" s="6" t="s">
        <v>1751</v>
      </c>
      <c r="C434" s="6" t="s">
        <v>1877</v>
      </c>
      <c r="D434" s="6" t="s">
        <v>324</v>
      </c>
      <c r="E434" s="6"/>
      <c r="F434" s="7" t="s">
        <v>1907</v>
      </c>
      <c r="G434" s="7" t="s">
        <v>31</v>
      </c>
      <c r="H434" s="5" t="n">
        <v>2</v>
      </c>
      <c r="I434" s="6"/>
      <c r="J434" s="5" t="n">
        <v>21</v>
      </c>
      <c r="K434" s="6" t="s">
        <v>1908</v>
      </c>
      <c r="L434" s="6" t="s">
        <v>1909</v>
      </c>
      <c r="M434" s="6" t="s">
        <v>376</v>
      </c>
      <c r="N434" s="6" t="s">
        <v>1059</v>
      </c>
      <c r="O434" s="6" t="s">
        <v>1910</v>
      </c>
      <c r="P434" s="6" t="s">
        <v>1911</v>
      </c>
    </row>
    <row r="435" customFormat="false" ht="96" hidden="false" customHeight="true" outlineLevel="0" collapsed="false">
      <c r="A435" s="5" t="n">
        <v>143</v>
      </c>
      <c r="B435" s="6" t="s">
        <v>1751</v>
      </c>
      <c r="C435" s="6" t="s">
        <v>1877</v>
      </c>
      <c r="D435" s="6" t="s">
        <v>324</v>
      </c>
      <c r="E435" s="6"/>
      <c r="F435" s="7" t="s">
        <v>1912</v>
      </c>
      <c r="G435" s="7" t="s">
        <v>31</v>
      </c>
      <c r="H435" s="5" t="n">
        <v>2</v>
      </c>
      <c r="I435" s="6"/>
      <c r="J435" s="5" t="n">
        <v>21</v>
      </c>
      <c r="K435" s="6" t="s">
        <v>228</v>
      </c>
      <c r="L435" s="6" t="s">
        <v>229</v>
      </c>
      <c r="M435" s="6" t="s">
        <v>367</v>
      </c>
      <c r="N435" s="6" t="s">
        <v>368</v>
      </c>
      <c r="O435" s="6" t="s">
        <v>1913</v>
      </c>
      <c r="P435" s="6" t="s">
        <v>1914</v>
      </c>
    </row>
    <row r="436" customFormat="false" ht="141.75" hidden="false" customHeight="true" outlineLevel="0" collapsed="false">
      <c r="A436" s="5" t="n">
        <v>282</v>
      </c>
      <c r="B436" s="6" t="s">
        <v>1751</v>
      </c>
      <c r="C436" s="6" t="s">
        <v>1877</v>
      </c>
      <c r="D436" s="6" t="s">
        <v>324</v>
      </c>
      <c r="E436" s="6"/>
      <c r="F436" s="7" t="s">
        <v>1915</v>
      </c>
      <c r="G436" s="7" t="s">
        <v>31</v>
      </c>
      <c r="H436" s="5" t="n">
        <v>2</v>
      </c>
      <c r="I436" s="6"/>
      <c r="J436" s="5" t="n">
        <v>21</v>
      </c>
      <c r="K436" s="6" t="s">
        <v>1056</v>
      </c>
      <c r="L436" s="6" t="s">
        <v>1916</v>
      </c>
      <c r="M436" s="6" t="s">
        <v>376</v>
      </c>
      <c r="N436" s="6" t="s">
        <v>1059</v>
      </c>
      <c r="O436" s="6" t="s">
        <v>1917</v>
      </c>
      <c r="P436" s="6" t="s">
        <v>1911</v>
      </c>
    </row>
    <row r="437" customFormat="false" ht="96" hidden="false" customHeight="true" outlineLevel="0" collapsed="false">
      <c r="A437" s="5" t="n">
        <v>228</v>
      </c>
      <c r="B437" s="6" t="s">
        <v>1751</v>
      </c>
      <c r="C437" s="6" t="s">
        <v>1877</v>
      </c>
      <c r="D437" s="6" t="s">
        <v>324</v>
      </c>
      <c r="E437" s="6"/>
      <c r="F437" s="7" t="s">
        <v>1918</v>
      </c>
      <c r="G437" s="7" t="s">
        <v>31</v>
      </c>
      <c r="H437" s="5" t="n">
        <v>2</v>
      </c>
      <c r="I437" s="6"/>
      <c r="J437" s="5" t="n">
        <v>14</v>
      </c>
      <c r="K437" s="6" t="s">
        <v>1899</v>
      </c>
      <c r="L437" s="6" t="s">
        <v>1919</v>
      </c>
      <c r="M437" s="6" t="s">
        <v>1115</v>
      </c>
      <c r="N437" s="6" t="s">
        <v>1059</v>
      </c>
      <c r="O437" s="6" t="s">
        <v>1920</v>
      </c>
      <c r="P437" s="6" t="s">
        <v>1914</v>
      </c>
    </row>
    <row r="438" customFormat="false" ht="27.75" hidden="false" customHeight="true" outlineLevel="0" collapsed="false">
      <c r="A438" s="5" t="n">
        <v>227</v>
      </c>
      <c r="B438" s="6" t="s">
        <v>1751</v>
      </c>
      <c r="C438" s="6" t="s">
        <v>1877</v>
      </c>
      <c r="D438" s="6" t="s">
        <v>1921</v>
      </c>
      <c r="E438" s="6"/>
      <c r="F438" s="7" t="s">
        <v>1922</v>
      </c>
      <c r="G438" s="7" t="s">
        <v>50</v>
      </c>
      <c r="H438" s="5"/>
      <c r="I438" s="6"/>
      <c r="J438" s="5" t="n">
        <v>21</v>
      </c>
      <c r="K438" s="6" t="s">
        <v>51</v>
      </c>
      <c r="L438" s="6"/>
      <c r="M438" s="6" t="s">
        <v>725</v>
      </c>
      <c r="N438" s="6"/>
      <c r="O438" s="6" t="s">
        <v>1923</v>
      </c>
      <c r="P438" s="6"/>
    </row>
    <row r="439" customFormat="false" ht="27.75" hidden="false" customHeight="true" outlineLevel="0" collapsed="false">
      <c r="A439" s="5" t="n">
        <v>226</v>
      </c>
      <c r="B439" s="6" t="s">
        <v>1751</v>
      </c>
      <c r="C439" s="6" t="s">
        <v>1877</v>
      </c>
      <c r="D439" s="6" t="s">
        <v>1921</v>
      </c>
      <c r="E439" s="6"/>
      <c r="F439" s="7" t="s">
        <v>1924</v>
      </c>
      <c r="G439" s="7" t="s">
        <v>50</v>
      </c>
      <c r="H439" s="5"/>
      <c r="I439" s="6"/>
      <c r="J439" s="5" t="n">
        <v>7</v>
      </c>
      <c r="K439" s="6" t="s">
        <v>51</v>
      </c>
      <c r="L439" s="6"/>
      <c r="M439" s="6"/>
      <c r="N439" s="6"/>
      <c r="O439" s="6" t="s">
        <v>1925</v>
      </c>
      <c r="P439" s="6"/>
    </row>
    <row r="440" customFormat="false" ht="61.5" hidden="false" customHeight="true" outlineLevel="0" collapsed="false">
      <c r="A440" s="5" t="s">
        <v>1926</v>
      </c>
      <c r="B440" s="6" t="s">
        <v>1751</v>
      </c>
      <c r="C440" s="6" t="s">
        <v>1877</v>
      </c>
      <c r="D440" s="6" t="s">
        <v>1921</v>
      </c>
      <c r="E440" s="6"/>
      <c r="F440" s="7" t="s">
        <v>1927</v>
      </c>
      <c r="G440" s="7" t="s">
        <v>24</v>
      </c>
      <c r="H440" s="5" t="n">
        <v>3</v>
      </c>
      <c r="I440" s="6"/>
      <c r="J440" s="5" t="n">
        <v>0</v>
      </c>
      <c r="K440" s="6" t="s">
        <v>1928</v>
      </c>
      <c r="L440" s="6" t="s">
        <v>1929</v>
      </c>
      <c r="M440" s="6" t="s">
        <v>725</v>
      </c>
      <c r="N440" s="6"/>
      <c r="O440" s="6" t="s">
        <v>1930</v>
      </c>
      <c r="P440" s="6"/>
    </row>
    <row r="441" customFormat="false" ht="61.5" hidden="false" customHeight="true" outlineLevel="0" collapsed="false">
      <c r="A441" s="5" t="n">
        <v>225</v>
      </c>
      <c r="B441" s="6" t="s">
        <v>1751</v>
      </c>
      <c r="C441" s="6" t="s">
        <v>1877</v>
      </c>
      <c r="D441" s="6" t="s">
        <v>1921</v>
      </c>
      <c r="E441" s="6"/>
      <c r="F441" s="7" t="s">
        <v>1931</v>
      </c>
      <c r="G441" s="7" t="s">
        <v>50</v>
      </c>
      <c r="H441" s="5"/>
      <c r="I441" s="6"/>
      <c r="J441" s="5" t="n">
        <v>7</v>
      </c>
      <c r="K441" s="6" t="s">
        <v>51</v>
      </c>
      <c r="L441" s="6"/>
      <c r="M441" s="6" t="s">
        <v>1165</v>
      </c>
      <c r="N441" s="6"/>
      <c r="O441" s="6" t="s">
        <v>1932</v>
      </c>
      <c r="P441" s="6"/>
    </row>
    <row r="442" customFormat="false" ht="39" hidden="false" customHeight="true" outlineLevel="0" collapsed="false">
      <c r="A442" s="5" t="n">
        <v>224</v>
      </c>
      <c r="B442" s="6" t="s">
        <v>1751</v>
      </c>
      <c r="C442" s="6" t="s">
        <v>1877</v>
      </c>
      <c r="D442" s="6" t="s">
        <v>1921</v>
      </c>
      <c r="E442" s="6"/>
      <c r="F442" s="7" t="s">
        <v>1933</v>
      </c>
      <c r="G442" s="7" t="s">
        <v>50</v>
      </c>
      <c r="H442" s="5"/>
      <c r="I442" s="6"/>
      <c r="J442" s="5" t="n">
        <v>7</v>
      </c>
      <c r="K442" s="6" t="s">
        <v>51</v>
      </c>
      <c r="L442" s="6"/>
      <c r="M442" s="6" t="s">
        <v>301</v>
      </c>
      <c r="N442" s="6"/>
      <c r="O442" s="6" t="s">
        <v>1934</v>
      </c>
      <c r="P442" s="6"/>
    </row>
    <row r="443" customFormat="false" ht="27.75" hidden="false" customHeight="true" outlineLevel="0" collapsed="false">
      <c r="A443" s="5" t="n">
        <v>223</v>
      </c>
      <c r="B443" s="6" t="s">
        <v>1751</v>
      </c>
      <c r="C443" s="6" t="s">
        <v>1877</v>
      </c>
      <c r="D443" s="6" t="s">
        <v>1921</v>
      </c>
      <c r="E443" s="6"/>
      <c r="F443" s="7" t="s">
        <v>1935</v>
      </c>
      <c r="G443" s="7" t="s">
        <v>50</v>
      </c>
      <c r="H443" s="5"/>
      <c r="I443" s="6"/>
      <c r="J443" s="5" t="n">
        <v>7</v>
      </c>
      <c r="K443" s="6" t="s">
        <v>51</v>
      </c>
      <c r="L443" s="6"/>
      <c r="M443" s="6"/>
      <c r="N443" s="6"/>
      <c r="O443" s="6" t="s">
        <v>1936</v>
      </c>
      <c r="P443" s="6"/>
    </row>
    <row r="444" customFormat="false" ht="27.75" hidden="false" customHeight="true" outlineLevel="0" collapsed="false">
      <c r="A444" s="5" t="n">
        <v>229</v>
      </c>
      <c r="B444" s="6" t="s">
        <v>1751</v>
      </c>
      <c r="C444" s="6" t="s">
        <v>1877</v>
      </c>
      <c r="D444" s="6" t="s">
        <v>35</v>
      </c>
      <c r="E444" s="6"/>
      <c r="F444" s="7" t="s">
        <v>1937</v>
      </c>
      <c r="G444" s="7" t="s">
        <v>31</v>
      </c>
      <c r="H444" s="5" t="n">
        <v>3</v>
      </c>
      <c r="I444" s="6"/>
      <c r="J444" s="5" t="n">
        <v>0</v>
      </c>
      <c r="K444" s="6" t="s">
        <v>43</v>
      </c>
      <c r="L444" s="6" t="s">
        <v>44</v>
      </c>
      <c r="M444" s="6" t="s">
        <v>39</v>
      </c>
      <c r="N444" s="6" t="s">
        <v>40</v>
      </c>
      <c r="O444" s="6" t="s">
        <v>1938</v>
      </c>
      <c r="P444" s="6"/>
    </row>
    <row r="447" customFormat="false" ht="15" hidden="false" customHeight="false" outlineLevel="0" collapsed="false">
      <c r="A447" s="8" t="s">
        <v>1939</v>
      </c>
    </row>
    <row r="448" customFormat="false" ht="27.75" hidden="false" customHeight="true" outlineLevel="0" collapsed="false">
      <c r="F448" s="4" t="s">
        <v>1940</v>
      </c>
      <c r="G448" s="4" t="s">
        <v>1941</v>
      </c>
      <c r="K448" s="4" t="s">
        <v>1942</v>
      </c>
      <c r="L448" s="4" t="s">
        <v>1943</v>
      </c>
      <c r="M448" s="4" t="s">
        <v>1944</v>
      </c>
    </row>
    <row r="449" customFormat="false" ht="84.75" hidden="false" customHeight="true" outlineLevel="0" collapsed="false">
      <c r="F449" s="7" t="s">
        <v>368</v>
      </c>
      <c r="G449" s="6" t="s">
        <v>1945</v>
      </c>
      <c r="K449" s="6" t="s">
        <v>1946</v>
      </c>
      <c r="L449" s="6" t="s">
        <v>1947</v>
      </c>
      <c r="M449" s="6" t="s">
        <v>1948</v>
      </c>
    </row>
    <row r="450" customFormat="false" ht="61.5" hidden="false" customHeight="true" outlineLevel="0" collapsed="false">
      <c r="F450" s="7" t="s">
        <v>668</v>
      </c>
      <c r="G450" s="6" t="s">
        <v>1949</v>
      </c>
      <c r="K450" s="6" t="s">
        <v>1950</v>
      </c>
      <c r="L450" s="6" t="s">
        <v>1951</v>
      </c>
      <c r="M450" s="6" t="s">
        <v>1952</v>
      </c>
    </row>
    <row r="451" customFormat="false" ht="50.25" hidden="false" customHeight="true" outlineLevel="0" collapsed="false">
      <c r="F451" s="7" t="s">
        <v>28</v>
      </c>
      <c r="G451" s="6" t="s">
        <v>1949</v>
      </c>
      <c r="K451" s="6" t="s">
        <v>1953</v>
      </c>
      <c r="L451" s="6" t="s">
        <v>1954</v>
      </c>
      <c r="M451" s="6" t="s">
        <v>1952</v>
      </c>
    </row>
    <row r="452" customFormat="false" ht="61.5" hidden="false" customHeight="true" outlineLevel="0" collapsed="false">
      <c r="F452" s="7" t="s">
        <v>1756</v>
      </c>
      <c r="G452" s="6" t="s">
        <v>1949</v>
      </c>
      <c r="K452" s="6" t="s">
        <v>1955</v>
      </c>
      <c r="L452" s="6" t="s">
        <v>1956</v>
      </c>
      <c r="M452" s="6" t="s">
        <v>1952</v>
      </c>
    </row>
    <row r="453" customFormat="false" ht="50.25" hidden="false" customHeight="true" outlineLevel="0" collapsed="false">
      <c r="F453" s="7" t="s">
        <v>454</v>
      </c>
      <c r="G453" s="6" t="s">
        <v>1945</v>
      </c>
      <c r="K453" s="6" t="s">
        <v>1957</v>
      </c>
      <c r="L453" s="6" t="s">
        <v>1958</v>
      </c>
      <c r="M453" s="6" t="s">
        <v>1959</v>
      </c>
    </row>
    <row r="454" customFormat="false" ht="39" hidden="false" customHeight="true" outlineLevel="0" collapsed="false">
      <c r="F454" s="7" t="s">
        <v>808</v>
      </c>
      <c r="G454" s="6" t="s">
        <v>1949</v>
      </c>
      <c r="K454" s="6" t="s">
        <v>1960</v>
      </c>
      <c r="L454" s="6" t="s">
        <v>1961</v>
      </c>
      <c r="M454" s="6" t="s">
        <v>1952</v>
      </c>
    </row>
    <row r="455" customFormat="false" ht="72.75" hidden="false" customHeight="true" outlineLevel="0" collapsed="false">
      <c r="F455" s="7" t="s">
        <v>873</v>
      </c>
      <c r="G455" s="6" t="s">
        <v>1962</v>
      </c>
      <c r="K455" s="6" t="s">
        <v>1963</v>
      </c>
      <c r="L455" s="6" t="s">
        <v>1964</v>
      </c>
      <c r="M455" s="6" t="s">
        <v>1965</v>
      </c>
    </row>
    <row r="456" customFormat="false" ht="84.75" hidden="false" customHeight="true" outlineLevel="0" collapsed="false">
      <c r="F456" s="7" t="s">
        <v>1966</v>
      </c>
      <c r="G456" s="6" t="s">
        <v>1949</v>
      </c>
      <c r="K456" s="6" t="s">
        <v>1967</v>
      </c>
      <c r="L456" s="6" t="s">
        <v>1968</v>
      </c>
      <c r="M456" s="6" t="s">
        <v>1952</v>
      </c>
    </row>
    <row r="457" customFormat="false" ht="39" hidden="false" customHeight="true" outlineLevel="0" collapsed="false">
      <c r="F457" s="7" t="s">
        <v>1269</v>
      </c>
      <c r="G457" s="6" t="s">
        <v>1949</v>
      </c>
      <c r="K457" s="6" t="s">
        <v>1969</v>
      </c>
      <c r="L457" s="6" t="s">
        <v>1970</v>
      </c>
      <c r="M457" s="6" t="s">
        <v>1952</v>
      </c>
    </row>
    <row r="458" customFormat="false" ht="61.5" hidden="false" customHeight="true" outlineLevel="0" collapsed="false">
      <c r="F458" s="7" t="s">
        <v>40</v>
      </c>
      <c r="G458" s="6" t="s">
        <v>1945</v>
      </c>
      <c r="K458" s="6" t="s">
        <v>1971</v>
      </c>
      <c r="L458" s="6" t="s">
        <v>1972</v>
      </c>
      <c r="M458" s="6" t="s">
        <v>1973</v>
      </c>
    </row>
    <row r="459" customFormat="false" ht="27.75" hidden="false" customHeight="true" outlineLevel="0" collapsed="false">
      <c r="F459" s="7" t="s">
        <v>119</v>
      </c>
      <c r="G459" s="6" t="s">
        <v>1974</v>
      </c>
      <c r="K459" s="6" t="s">
        <v>1975</v>
      </c>
      <c r="L459" s="6" t="s">
        <v>1976</v>
      </c>
      <c r="M459" s="6" t="s">
        <v>1977</v>
      </c>
    </row>
    <row r="460" customFormat="false" ht="39" hidden="false" customHeight="true" outlineLevel="0" collapsed="false">
      <c r="F460" s="7" t="s">
        <v>1978</v>
      </c>
      <c r="G460" s="6" t="s">
        <v>1949</v>
      </c>
      <c r="K460" s="6" t="s">
        <v>1979</v>
      </c>
      <c r="L460" s="6" t="s">
        <v>1980</v>
      </c>
      <c r="M460" s="6" t="s">
        <v>1952</v>
      </c>
    </row>
    <row r="461" customFormat="false" ht="39" hidden="false" customHeight="true" outlineLevel="0" collapsed="false">
      <c r="F461" s="7" t="s">
        <v>1981</v>
      </c>
      <c r="G461" s="6" t="s">
        <v>1949</v>
      </c>
      <c r="K461" s="6" t="s">
        <v>1982</v>
      </c>
      <c r="L461" s="6" t="s">
        <v>1983</v>
      </c>
      <c r="M461" s="6" t="s">
        <v>1952</v>
      </c>
    </row>
    <row r="462" customFormat="false" ht="50.25" hidden="false" customHeight="true" outlineLevel="0" collapsed="false">
      <c r="F462" s="7" t="s">
        <v>719</v>
      </c>
      <c r="G462" s="6" t="s">
        <v>1949</v>
      </c>
      <c r="K462" s="6" t="s">
        <v>1984</v>
      </c>
      <c r="L462" s="6" t="s">
        <v>1985</v>
      </c>
      <c r="M462" s="6" t="s">
        <v>1952</v>
      </c>
    </row>
    <row r="463" customFormat="false" ht="42" hidden="false" customHeight="true" outlineLevel="0" collapsed="false">
      <c r="F463" s="3" t="s">
        <v>1986</v>
      </c>
      <c r="G463" s="3"/>
      <c r="H463" s="3"/>
      <c r="I463" s="3"/>
      <c r="J463" s="3"/>
      <c r="K463" s="3"/>
      <c r="L463" s="3"/>
      <c r="M463" s="3"/>
    </row>
  </sheetData>
  <autoFilter ref="A5:P444"/>
  <mergeCells count="4">
    <mergeCell ref="A2:P2"/>
    <mergeCell ref="A3:P3"/>
    <mergeCell ref="A4:P4"/>
    <mergeCell ref="F463:M463"/>
  </mergeCells>
  <conditionalFormatting sqref="G6:G444">
    <cfRule type="expression" priority="2" aboveAverage="0" equalAverage="0" bottom="0" percent="0" rank="0" text="" dxfId="8">
      <formula>$G6="À garder"</formula>
    </cfRule>
    <cfRule type="expression" priority="3" aboveAverage="0" equalAverage="0" bottom="0" percent="0" rank="0" text="" dxfId="9">
      <formula>$G6="À ajuster"</formula>
    </cfRule>
    <cfRule type="expression" priority="4" aboveAverage="0" equalAverage="0" bottom="0" percent="0" rank="0" text="" dxfId="10">
      <formula>$G6="À modifier"</formula>
    </cfRule>
    <cfRule type="expression" priority="5" aboveAverage="0" equalAverage="0" bottom="0" percent="0" rank="0" text="" dxfId="11">
      <formula>$G6="À supprimer"</formula>
    </cfRule>
    <cfRule type="expression" priority="6" aboveAverage="0" equalAverage="0" bottom="0" percent="0" rank="0" text="" dxfId="12">
      <formula>$G6="À créer"</formula>
    </cfRule>
  </conditionalFormatting>
  <conditionalFormatting sqref="A6:P444">
    <cfRule type="expression" priority="7" aboveAverage="0" equalAverage="0" bottom="0" percent="0" rank="0" text="" dxfId="13">
      <formula>$I6="Oui"</formula>
    </cfRule>
  </conditionalFormatting>
  <dataValidations count="2">
    <dataValidation allowBlank="false" errorStyle="stop" operator="between" showDropDown="false" showErrorMessage="false" showInputMessage="false" sqref="G6:G444" type="list">
      <formula1>"À garder,À ajuster,À modifier,À supprimer,À créer"</formula1>
      <formula2>0</formula2>
    </dataValidation>
    <dataValidation allowBlank="true" errorStyle="stop" operator="between" showDropDown="false" showErrorMessage="false" showInputMessage="false" sqref="I6:I444" type="list">
      <formula1>"Oui"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2026-10-12T22:41:55Z</dcterms:created>
  <dc:creator>openpyxl</dc:creator>
  <dc:description/>
  <dc:language>en-US</dc:language>
  <cp:lastModifiedBy/>
  <dcterms:modified xsi:type="dcterms:W3CDTF">2026-10-12T22:41:55Z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